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b717a06f8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41f29694584b15"/>
    <x:sheet xmlns:r="http://schemas.openxmlformats.org/officeDocument/2006/relationships" name="Inputs" sheetId="2" r:id="R99c7ca103cd64202"/>
    <x:sheet xmlns:r="http://schemas.openxmlformats.org/officeDocument/2006/relationships" name="Cash Flows" sheetId="3" r:id="Rf68015d63cbe4dc6"/>
    <x:sheet xmlns:r="http://schemas.openxmlformats.org/officeDocument/2006/relationships" name="Sensitivities" sheetId="4" r:id="R2a5568f5977f4fb1"/>
    <x:sheet xmlns:r="http://schemas.openxmlformats.org/officeDocument/2006/relationships" name="Checks" sheetId="5" r:id="Rad53861216be4129"/>
    <x:sheet xmlns:r="http://schemas.openxmlformats.org/officeDocument/2006/relationships" name="Sources &amp; Notes" sheetId="6" r:id="R9de9acb2316c495e"/>
  </x:sheets>
</x:workbook>
</file>

<file path=xl/comments1.xml><?xml version="1.0" encoding="utf-8"?>
<x:comments xmlns:x="http://schemas.openxmlformats.org/spreadsheetml/2006/main">
  <x:authors>
    <x:author>tc={A92D7353-A43B-051D-7E75-0873379638B2}</x:author>
    <x:author>tc={0A66DC53-4933-25CC-67DF-72A606FB73CE}</x:author>
    <x:author>tc={2B255EF7-6D3B-1876-38F6-2F12369EE2A7}</x:author>
    <x:author>tc={688C31FD-E2C9-87C2-C758-C884EB1633BF}</x:author>
    <x:author>tc={A9C6D6A6-966D-D9DA-F7FD-18E6203DAF6D}</x:author>
    <x:author>tc={D3325249-FF08-4820-CA45-194A189F475B}</x:author>
  </x:authors>
  <x:commentList>
    <x:comment ref="B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synthetic spread. No market data or curve calibration is embedded.</x:t>
        </x:r>
      </x:text>
    </x:comment>
    <x:comment ref="B1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fractional recovery assumption. Legal settlement mechanics are simplified.</x:t>
        </x:r>
      </x:text>
    </x:comment>
    <x:comment ref="B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flat rate, not a live government or swap curve.</x:t>
        </x:r>
      </x:text>
    </x:comment>
    <x:comment ref="B1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flat funding benchmark used only for coupon decomposition.</x:t>
        </x:r>
      </x:text>
    </x:comment>
    <x:comment ref="B2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spreadsheet recovery adjustment. The Python base case leaves this at zero.</x:t>
        </x:r>
      </x:text>
    </x:comment>
    <x:comment ref="B2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Static haircut only. The model excludes margin calls and dynamic collateralisation.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;[Red](0.00%);-"/>
    <x:numFmt numFmtId="201" formatCode="&quot;£&quot;#,##0;[Red](&quot;£&quot;#,##0);-"/>
    <x:numFmt numFmtId="202" formatCode="0"/>
    <x:numFmt numFmtId="203" formatCode="0.000000"/>
    <x:numFmt numFmtId="204" formatCode="&quot;£&quot;#,##0.0;[Red](&quot;£&quot;#,##0.0);-"/>
    <x:numFmt numFmtId="205" formatCode="#,##0.00;[Red](#,##0.00);-"/>
    <x:numFmt numFmtId="206" formatCode="0.00"/>
    <x:numFmt numFmtId="207" formatCode="0.0%;[Red](0.0%);-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6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5F5F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DF4FA"/>
      </x:patternFill>
    </x:fill>
  </x:fills>
  <x:borders count="20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  <x:border>
      <x:top style="thin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 vertical="center"/>
    </x:xf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202" fontId="5" fillId="6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0" borderId="2" xfId="0" applyNumberFormat="1" applyFont="1" applyFill="1" applyBorder="1"/>
    <x:xf numFmtId="0" fontId="5" fillId="6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5" fillId="6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5" fillId="6" borderId="6" xfId="0" applyNumberFormat="1" applyFont="1" applyFill="1" applyBorder="1"/>
    <x:xf numFmtId="202" fontId="5" fillId="6" borderId="6" xfId="0" applyNumberFormat="1" applyFont="1" applyFill="1" applyBorder="1"/>
    <x:xf numFmtId="200" fontId="5" fillId="6" borderId="6" xfId="0" applyNumberFormat="1" applyFont="1" applyFill="1" applyBorder="1"/>
    <x:xf numFmtId="0" fontId="3" fillId="4" borderId="5" xfId="0" applyNumberFormat="1" applyFont="1" applyFill="1" applyBorder="1" applyAlignment="1">
      <x:alignment horizontal="left" vertical="center"/>
    </x:xf>
    <x:xf numFmtId="0" fontId="6" fillId="6" borderId="6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3" fillId="4" borderId="7" xfId="0" applyNumberFormat="1" applyFont="1" applyFill="1" applyBorder="1" applyAlignment="1">
      <x:alignment horizontal="left" vertical="center"/>
    </x:xf>
    <x:xf numFmtId="200" fontId="0" fillId="0" borderId="6" xfId="0" applyNumberFormat="1" applyFont="1" applyFill="1" applyBorder="1"/>
    <x:xf numFmtId="200" fontId="7" fillId="0" borderId="6" xfId="0" applyNumberFormat="1" applyFont="1" applyFill="1" applyBorder="1"/>
    <x:xf numFmtId="0" fontId="0" fillId="0" borderId="8" xfId="0" applyNumberFormat="1" applyFont="1" applyFill="1" applyBorder="1"/>
    <x:xf numFmtId="202" fontId="7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200" fontId="5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5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9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4" fillId="0" borderId="19" xfId="0" applyNumberFormat="1" applyFont="1" applyFill="1" applyBorder="1"/>
    <x:xf numFmtId="205" fontId="0" fillId="0" borderId="0" xfId="0" applyNumberFormat="1" applyFont="1" applyFill="1" applyBorder="1"/>
    <x:xf numFmtId="0" fontId="8" fillId="0" borderId="0" xfId="0" applyNumberFormat="1" applyFont="1" applyFill="1" applyBorder="1"/>
    <x:xf numFmtId="203" fontId="9" fillId="0" borderId="0" xfId="0" applyNumberFormat="1" applyFont="1" applyFill="1" applyBorder="1"/>
    <x:xf numFmtId="204" fontId="9" fillId="0" borderId="0" xfId="0" applyNumberFormat="1" applyFont="1" applyFill="1" applyBorder="1"/>
    <x:xf numFmtId="206" fontId="0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6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200" fontId="0" fillId="0" borderId="9" xfId="0" applyNumberFormat="1" applyFont="1" applyFill="1" applyBorder="1"/>
    <x:xf numFmtId="203" fontId="0" fillId="0" borderId="9" xfId="0" applyNumberFormat="1" applyFont="1" applyFill="1" applyBorder="1"/>
    <x:xf numFmtId="203" fontId="0" fillId="0" borderId="10" xfId="0" applyNumberFormat="1" applyFont="1" applyFill="1" applyBorder="1"/>
    <x:xf numFmtId="200" fontId="4" fillId="5" borderId="1" xfId="0" applyNumberFormat="1" applyFont="1" applyFill="1" applyBorder="1" applyAlignment="1">
      <x:alignment vertical="center" wrapText="1"/>
    </x:xf>
    <x:xf numFmtId="207" fontId="4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205" fontId="0" fillId="0" borderId="3" xfId="0" applyNumberFormat="1" applyFont="1" applyFill="1" applyBorder="1"/>
    <x:xf numFmtId="0" fontId="8" fillId="0" borderId="3" xfId="0" applyNumberFormat="1" applyFont="1" applyFill="1" applyBorder="1"/>
    <x:xf numFmtId="205" fontId="0" fillId="0" borderId="6" xfId="0" applyNumberFormat="1" applyFont="1" applyFill="1" applyBorder="1"/>
    <x:xf numFmtId="0" fontId="8" fillId="0" borderId="6" xfId="0" applyNumberFormat="1" applyFont="1" applyFill="1" applyBorder="1"/>
    <x:xf numFmtId="204" fontId="0" fillId="0" borderId="6" xfId="0" applyNumberFormat="1" applyFont="1" applyFill="1" applyBorder="1"/>
    <x:xf numFmtId="205" fontId="0" fillId="0" borderId="9" xfId="0" applyNumberFormat="1" applyFont="1" applyFill="1" applyBorder="1"/>
    <x:xf numFmtId="0" fontId="8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4" fontId="9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201" fontId="5" fillId="6" borderId="6" xfId="0" applyNumberFormat="1" applyFont="1" applyFill="1" applyBorder="1" applyAlignment="1">
      <x:alignment vertical="center"/>
    </x:xf>
    <x:xf numFmtId="202" fontId="5" fillId="6" borderId="6" xfId="0" applyNumberFormat="1" applyFont="1" applyFill="1" applyBorder="1" applyAlignment="1">
      <x:alignment vertical="center"/>
    </x:xf>
    <x:xf numFmtId="200" fontId="5" fillId="6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2" fontId="7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5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204" fontId="4" fillId="0" borderId="1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1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faeeeda8d47c8" /><Relationship Type="http://schemas.openxmlformats.org/officeDocument/2006/relationships/theme" Target="/xl/theme/theme1.xml" Id="R618942210ec4424f" /><Relationship Type="http://schemas.openxmlformats.org/officeDocument/2006/relationships/sharedStrings" Target="/xl/sharedStrings.xml" Id="R50b9a943ff654a6f" /><Relationship Type="http://schemas.openxmlformats.org/officeDocument/2006/relationships/worksheet" Target="/xl/worksheets/sheet1.xml" Id="R4941f29694584b15" /><Relationship Type="http://schemas.openxmlformats.org/officeDocument/2006/relationships/worksheet" Target="/xl/worksheets/sheet2.xml" Id="R99c7ca103cd64202" /><Relationship Type="http://schemas.openxmlformats.org/officeDocument/2006/relationships/worksheet" Target="/xl/worksheets/sheet3.xml" Id="Rf68015d63cbe4dc6" /><Relationship Type="http://schemas.openxmlformats.org/officeDocument/2006/relationships/worksheet" Target="/xl/worksheets/sheet4.xml" Id="R2a5568f5977f4fb1" /><Relationship Type="http://schemas.openxmlformats.org/officeDocument/2006/relationships/worksheet" Target="/xl/worksheets/sheet5.xml" Id="Rad53861216be4129" /><Relationship Type="http://schemas.openxmlformats.org/officeDocument/2006/relationships/worksheet" Target="/xl/worksheets/sheet6.xml" Id="R9de9acb2316c495e" /><Relationship Type="http://schemas.microsoft.com/office/2017/10/relationships/person" Target="/xl/persons/person.xml" Id="R8890eb30a0134d2f" /></Relationships>
</file>

<file path=xl/persons/person.xml><?xml version="1.0" encoding="utf-8"?>
<xltc:personList xmlns:xltc="http://schemas.microsoft.com/office/spreadsheetml/2018/threadedcomments">
  <xltc:person displayName="Ebrahim Cahlon" id="{27CE38A1-C91A-4B56-A99F-AD8206C8BFE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6" dT="2026-08-24T15:01:33.044" personId="{27CE38A1-C91A-4B56-A99F-AD8206C8BFEA}" id="{A92D7353-A43B-051D-7E75-0873379638B2}">
    <xltc:text>Illustrative synthetic spread. No market data or curve calibration is embedded.</xltc:text>
  </xltc:threadedComment>
  <xltc:threadedComment ref="B17" dT="2026-08-24T15:01:33.044" personId="{27CE38A1-C91A-4B56-A99F-AD8206C8BFEA}" id="{0A66DC53-4933-25CC-67DF-72A606FB73CE}">
    <xltc:text>Illustrative fractional recovery assumption. Legal settlement mechanics are simplified.</xltc:text>
  </xltc:threadedComment>
  <xltc:threadedComment ref="B18" dT="2026-08-24T15:01:33.044" personId="{27CE38A1-C91A-4B56-A99F-AD8206C8BFEA}" id="{2B255EF7-6D3B-1876-38F6-2F12369EE2A7}">
    <xltc:text>Illustrative flat rate, not a live government or swap curve.</xltc:text>
  </xltc:threadedComment>
  <xltc:threadedComment ref="B19" dT="2026-08-24T15:01:33.045" personId="{27CE38A1-C91A-4B56-A99F-AD8206C8BFEA}" id="{688C31FD-E2C9-87C2-C758-C884EB1633BF}">
    <xltc:text>Illustrative flat funding benchmark used only for coupon decomposition.</xltc:text>
  </xltc:threadedComment>
  <xltc:threadedComment ref="B21" dT="2026-08-24T15:01:33.045" personId="{27CE38A1-C91A-4B56-A99F-AD8206C8BFEA}" id="{A9C6D6A6-966D-D9DA-F7FD-18E6203DAF6D}">
    <xltc:text>Optional spreadsheet recovery adjustment. The Python base case leaves this at zero.</xltc:text>
  </xltc:threadedComment>
  <xltc:threadedComment ref="B22" dT="2026-08-24T15:01:33.045" personId="{27CE38A1-C91A-4B56-A99F-AD8206C8BFEA}" id="{D3325249-FF08-4820-CA45-194A189F475B}">
    <xltc:text>Static haircut only. The model excludes margin calls and dynamic collateralisation.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29668b33774e68" /><Relationship Type="http://schemas.openxmlformats.org/officeDocument/2006/relationships/vmlDrawing" Target="/xl/drawings/vmldrawing.vml" Id="Rb18c27470f854409" /><Relationship Type="http://schemas.microsoft.com/office/2017/10/relationships/threadedComment" Target="/xl/threadedcomments/threadedcomment.xml" Id="R92e91299fb7d43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13" hidden="0" customWidth="1"/>
    <x:col min="4" max="4" width="4" hidden="0" customWidth="1"/>
    <x:col min="5" max="5" width="18" hidden="0" customWidth="1"/>
    <x:col min="6" max="6" width="32" hidden="0" customWidth="1"/>
    <x:col min="7" max="7" width="33" hidden="0" customWidth="1"/>
    <x:col min="8" max="8" width="20" hidden="0" customWidth="1"/>
  </x:cols>
  <x:sheetData>
    <x:row r="1" ht="30" customHeight="1">
      <x:c r="A1" s="178" t="str">
        <x:v>CREDIT STRUCTURING CASH-FLOW ENGINE</x:v>
      </x:c>
      <x:c r="B1" s="178" t="str">
        <x:v>CREDIT STRUCTURING CASH-FLOW ENGINE</x:v>
      </x:c>
      <x:c r="C1" s="178" t="str">
        <x:v>CREDIT STRUCTURING CASH-FLOW ENGINE</x:v>
      </x:c>
      <x:c r="D1" s="178" t="str">
        <x:v>CREDIT STRUCTURING CASH-FLOW ENGINE</x:v>
      </x:c>
      <x:c r="E1" s="178" t="str">
        <x:v>CREDIT STRUCTURING CASH-FLOW ENGINE</x:v>
      </x:c>
      <x:c r="F1" s="178" t="str">
        <x:v>CREDIT STRUCTURING CASH-FLOW ENGINE</x:v>
      </x:c>
      <x:c r="G1" s="178" t="str">
        <x:v>CREDIT STRUCTURING CASH-FLOW ENGINE</x:v>
      </x:c>
      <x:c r="H1" s="178" t="str">
        <x:v>CREDIT STRUCTURING CASH-FLOW ENGINE</x:v>
      </x:c>
    </x:row>
    <x:row r="2">
      <x:c r="A2" s="111"/>
      <x:c r="B2" s="111"/>
      <x:c r="C2" s="111"/>
      <x:c r="D2" s="111"/>
      <x:c r="E2" s="111"/>
      <x:c r="F2" s="111"/>
      <x:c r="G2" s="111"/>
      <x:c r="H2" s="111"/>
    </x:row>
    <x:row r="3">
      <x:c r="A3" s="112" t="str">
        <x:v>Indicative single-name CLN and funded bond-repack model | Synthetic assumptions | Python and Excel cross-check</x:v>
      </x:c>
      <x:c r="B3" s="112"/>
      <x:c r="C3" s="112"/>
      <x:c r="D3" s="112"/>
      <x:c r="E3" s="112"/>
      <x:c r="F3" s="112"/>
      <x:c r="G3" s="112"/>
      <x:c r="H3" s="112"/>
    </x:row>
    <x:row r="4">
      <x:c r="A4" s="111"/>
      <x:c r="B4" s="111"/>
      <x:c r="C4" s="111"/>
      <x:c r="D4" s="111"/>
      <x:c r="E4" s="111"/>
      <x:c r="F4" s="111"/>
      <x:c r="G4" s="111"/>
      <x:c r="H4" s="111"/>
    </x:row>
    <x:row r="5" ht="21" customHeight="1">
      <x:c r="A5" s="10" t="str">
        <x:v>KEY OUTPUTS</x:v>
      </x:c>
      <x:c r="B5" s="10" t="str">
        <x:v>KEY OUTPUTS</x:v>
      </x:c>
      <x:c r="C5" s="10" t="str">
        <x:v>KEY OUTPUTS</x:v>
      </x:c>
      <x:c r="D5" s="10" t="str">
        <x:v>KEY OUTPUTS</x:v>
      </x:c>
      <x:c r="E5" s="10" t="str">
        <x:v>TRANSACTION MAP</x:v>
      </x:c>
      <x:c r="F5" s="10" t="str">
        <x:v>TRANSACTION MAP</x:v>
      </x:c>
      <x:c r="G5" s="10" t="str">
        <x:v>TRANSACTION MAP</x:v>
      </x:c>
      <x:c r="H5" s="10" t="str">
        <x:v>TRANSACTION MAP</x:v>
      </x:c>
    </x:row>
    <x:row r="6">
      <x:c r="A6" s="111" t="str">
        <x:v>Product mode</x:v>
      </x:c>
      <x:c r="B6" s="113" t="str">
        <x:f>'Inputs'!$B$6</x:f>
        <x:v>CLN</x:v>
      </x:c>
      <x:c r="C6" s="111"/>
      <x:c r="D6" s="111"/>
      <x:c r="E6" s="50" t="str">
        <x:v>Mode</x:v>
      </x:c>
      <x:c r="F6" s="51" t="str">
        <x:v>Cash source</x:v>
      </x:c>
      <x:c r="G6" s="51" t="str">
        <x:v>Investor receives</x:v>
      </x:c>
      <x:c r="H6" s="52" t="str">
        <x:v>Primary retained risk</x:v>
      </x:c>
    </x:row>
    <x:row r="7">
      <x:c r="A7" s="111" t="str">
        <x:v>Effective note coupon</x:v>
      </x:c>
      <x:c r="B7" s="114" t="n">
        <x:f>'Inputs'!$B$35</x:f>
        <x:v>0.0725</x:v>
      </x:c>
      <x:c r="C7" s="111"/>
      <x:c r="D7" s="111"/>
      <x:c r="E7" s="115" t="str">
        <x:v>CLN</x:v>
      </x:c>
      <x:c r="F7" s="116" t="str">
        <x:v>Funded note proceeds</x:v>
      </x:c>
      <x:c r="G7" s="116" t="str">
        <x:v>Coupon plus recovery-adjusted redemption</x:v>
      </x:c>
      <x:c r="H7" s="117" t="str">
        <x:v>Issuer, funding and reference-credit mechanics</x:v>
      </x:c>
    </x:row>
    <x:row r="8">
      <x:c r="A8" s="111" t="str">
        <x:v>Fair coupon at issue price</x:v>
      </x:c>
      <x:c r="B8" s="114" t="n">
        <x:f>IF(B28&gt;0,IF('Inputs'!$B$6="CLN",(B27-B29-B30)/B28,(B27-'Inputs'!$B$8*'Inputs'!$B$29+B26-B29-B30-B31)/B28),"")</x:f>
        <x:v>0.07087712962645687</x:v>
      </x:c>
      <x:c r="C8" s="111"/>
      <x:c r="D8" s="111"/>
      <x:c r="E8" s="115" t="str">
        <x:v>REPACK</x:v>
      </x:c>
      <x:c r="F8" s="116" t="str">
        <x:v>Note proceeds purchase a reference bond</x:v>
      </x:c>
      <x:c r="G8" s="116" t="str">
        <x:v>Pass-through coupon and recovery-adjusted redemption</x:v>
      </x:c>
      <x:c r="H8" s="117" t="str">
        <x:v>Collateral, funding and running-cost economics</x:v>
      </x:c>
    </x:row>
    <x:row r="9">
      <x:c r="A9" s="111" t="str">
        <x:v>Fair coupon minus funding benchmark</x:v>
      </x:c>
      <x:c r="B9" s="114" t="n">
        <x:f>B8-'Inputs'!$B$19</x:f>
        <x:v>0.028377129626456866</x:v>
      </x:c>
      <x:c r="C9" s="111"/>
      <x:c r="D9" s="111"/>
      <x:c r="E9" s="115"/>
      <x:c r="F9" s="116"/>
      <x:c r="G9" s="116"/>
      <x:c r="H9" s="117"/>
    </x:row>
    <x:row r="10">
      <x:c r="A10" s="111" t="str">
        <x:v>Model price</x:v>
      </x:c>
      <x:c r="B10" s="114" t="n">
        <x:f>SUM('Cash Flows'!$M$6:$M$45)/'Inputs'!$B$8</x:f>
        <x:v>1.0064873474349718</x:v>
      </x:c>
      <x:c r="C10" s="111"/>
      <x:c r="D10" s="111"/>
      <x:c r="E10" s="115" t="str">
        <x:v>Credit event</x:v>
      </x:c>
      <x:c r="F10" s="116" t="str">
        <x:v>Reference default interrupts coupons</x:v>
      </x:c>
      <x:c r="G10" s="116" t="str">
        <x:v>Principal is reduced to modelled recovery</x:v>
      </x:c>
      <x:c r="H10" s="117" t="str">
        <x:v>Legal and auction mechanics are outside scope</x:v>
      </x:c>
    </x:row>
    <x:row r="11">
      <x:c r="A11" s="111" t="str">
        <x:v>Model value</x:v>
      </x:c>
      <x:c r="B11" s="118" t="n">
        <x:f>SUM('Cash Flows'!$M$6:$M$45)</x:f>
        <x:v>1006487.3474349717</x:v>
      </x:c>
      <x:c r="C11" s="111"/>
      <x:c r="D11" s="111"/>
      <x:c r="E11" s="115" t="str">
        <x:v>No default</x:v>
      </x:c>
      <x:c r="F11" s="116" t="str">
        <x:v>Coupons continue</x:v>
      </x:c>
      <x:c r="G11" s="116" t="str">
        <x:v>Principal returns at maturity</x:v>
      </x:c>
      <x:c r="H11" s="117" t="str">
        <x:v>Rates, liquidity and issuer risk remain</x:v>
      </x:c>
    </x:row>
    <x:row r="12">
      <x:c r="A12" s="111" t="str">
        <x:v>Cumulative default probability</x:v>
      </x:c>
      <x:c r="B12" s="114" t="n">
        <x:f>SUM('Cash Flows'!$F$6:$F$45)</x:f>
        <x:v>0.20480401020487426</x:v>
      </x:c>
      <x:c r="C12" s="111"/>
      <x:c r="D12" s="111"/>
      <x:c r="E12" s="115"/>
      <x:c r="F12" s="116"/>
      <x:c r="G12" s="116"/>
      <x:c r="H12" s="117"/>
    </x:row>
    <x:row r="13">
      <x:c r="A13" s="111" t="str">
        <x:v>Expected principal loss</x:v>
      </x:c>
      <x:c r="B13" s="118" t="n">
        <x:f>'Inputs'!$B$8*(1-'Inputs'!$B$36)*B12</x:f>
        <x:v>122882.40612292456</x:v>
      </x:c>
      <x:c r="C13" s="111"/>
      <x:c r="D13" s="111"/>
      <x:c r="E13" s="115" t="str">
        <x:v>Why this model</x:v>
      </x:c>
      <x:c r="F13" s="116" t="str">
        <x:v>Maps product terms into cash flows</x:v>
      </x:c>
      <x:c r="G13" s="116" t="str">
        <x:v>Separates investor and issuer views</x:v>
      </x:c>
      <x:c r="H13" s="117" t="str">
        <x:v>Automates repeatable scenario analysis</x:v>
      </x:c>
    </x:row>
    <x:row r="14">
      <x:c r="A14" s="111" t="str">
        <x:v>Expected redemption timing</x:v>
      </x:c>
      <x:c r="B14" s="119" t="n">
        <x:f>IF(SUM('Cash Flows'!$J$6:$K$45)&gt;0,(SUMPRODUCT('Cash Flows'!$B$6:$B$45,'Cash Flows'!$J$6:$J$45)+SUMPRODUCT('Cash Flows'!$B$6:$B$45,'Cash Flows'!$K$6:$K$45))/SUM('Cash Flows'!$J$6:$K$45),"")</x:f>
        <x:v>4.769290010473385</x:v>
      </x:c>
      <x:c r="C14" s="111"/>
      <x:c r="D14" s="111"/>
      <x:c r="E14" s="115"/>
      <x:c r="F14" s="116"/>
      <x:c r="G14" s="116"/>
      <x:c r="H14" s="117"/>
    </x:row>
    <x:row r="15">
      <x:c r="A15" s="111" t="str">
        <x:v>Investor NPV after upfront fee</x:v>
      </x:c>
      <x:c r="B15" s="118" t="n">
        <x:f>B11-'Inputs'!$B$8*('Inputs'!$B$11+'Inputs'!$B$12)</x:f>
        <x:v>6487.347434971714</x:v>
      </x:c>
      <x:c r="C15" s="111"/>
      <x:c r="D15" s="111"/>
      <x:c r="E15" s="115" t="str">
        <x:v>Use</x:v>
      </x:c>
      <x:c r="F15" s="116" t="str">
        <x:v>Change blue assumptions</x:v>
      </x:c>
      <x:c r="G15" s="116" t="str">
        <x:v>Review Summary and Sensitivities</x:v>
      </x:c>
      <x:c r="H15" s="117" t="str">
        <x:v>Confirm all Checks remain OK</x:v>
      </x:c>
    </x:row>
    <x:row r="16">
      <x:c r="A16" s="111" t="str">
        <x:v>Issuer / SPV indicative NPV</x:v>
      </x:c>
      <x:c r="B16" s="118" t="n">
        <x:f>'Inputs'!$B$8*('Inputs'!$B$11+'Inputs'!$B$12-'Inputs'!$B$13-IF('Inputs'!$B$6="REPACK",'Inputs'!$B$29,0))+SUM('Cash Flows'!$S$6:$S$45)</x:f>
        <x:v>-6487.347434971714</x:v>
      </x:c>
      <x:c r="C16" s="111"/>
      <x:c r="D16" s="111"/>
      <x:c r="E16" s="120" t="str">
        <x:v>Boundary</x:v>
      </x:c>
      <x:c r="F16" s="121" t="str">
        <x:v>Indicative educational model</x:v>
      </x:c>
      <x:c r="G16" s="121" t="str">
        <x:v>Not an executable quote</x:v>
      </x:c>
      <x:c r="H16" s="122" t="str">
        <x:v>Not investment advice</x:v>
      </x:c>
    </x:row>
    <x:row r="17">
      <x:c r="A17" s="111" t="str">
        <x:v>Reference asset PV</x:v>
      </x:c>
      <x:c r="B17" s="118" t="n">
        <x:f>SUMPRODUCT('Cash Flows'!$P$6:$P$45,'Cash Flows'!$G$6:$G$45)</x:f>
        <x:v>0</x:v>
      </x:c>
      <x:c r="C17" s="111"/>
      <x:c r="D17" s="111"/>
      <x:c r="E17" s="111"/>
      <x:c r="F17" s="111"/>
      <x:c r="G17" s="111"/>
      <x:c r="H17" s="111"/>
    </x:row>
    <x:row r="18">
      <x:c r="A18" s="111" t="str">
        <x:v>Overall model status</x:v>
      </x:c>
      <x:c r="B18" s="123" t="str">
        <x:f>'Checks'!$B$5</x:f>
        <x:v>OK</x:v>
      </x:c>
      <x:c r="C18" s="111"/>
      <x:c r="D18" s="111"/>
      <x:c r="E18" s="111"/>
      <x:c r="F18" s="111"/>
      <x:c r="G18" s="111"/>
      <x:c r="H18" s="111"/>
    </x:row>
    <x:row r="19">
      <x:c r="A19" s="111"/>
      <x:c r="B19" s="111"/>
      <x:c r="C19" s="111"/>
      <x:c r="D19" s="111"/>
      <x:c r="E19" s="111"/>
      <x:c r="F19" s="111"/>
      <x:c r="G19" s="111"/>
      <x:c r="H19" s="111"/>
    </x:row>
    <x:row r="20">
      <x:c r="A20" s="111"/>
      <x:c r="B20" s="111"/>
      <x:c r="C20" s="111"/>
      <x:c r="D20" s="111"/>
      <x:c r="E20" s="111"/>
      <x:c r="F20" s="111"/>
      <x:c r="G20" s="111"/>
      <x:c r="H20" s="111"/>
    </x:row>
    <x:row r="21" ht="21" customHeight="1">
      <x:c r="A21" s="10" t="str">
        <x:v>VALUATION COMPONENTS</x:v>
      </x:c>
      <x:c r="B21" s="10" t="str">
        <x:v>VALUATION COMPONENTS</x:v>
      </x:c>
      <x:c r="C21" s="10" t="str">
        <x:v>VALUATION COMPONENTS</x:v>
      </x:c>
      <x:c r="D21" s="10" t="str">
        <x:v>VALUATION COMPONENTS</x:v>
      </x:c>
      <x:c r="E21" s="10" t="str">
        <x:v>REVIEWER ROUTE</x:v>
      </x:c>
      <x:c r="F21" s="10" t="str">
        <x:v>REVIEWER ROUTE</x:v>
      </x:c>
      <x:c r="G21" s="10" t="str">
        <x:v>REVIEWER ROUTE</x:v>
      </x:c>
      <x:c r="H21" s="10" t="str">
        <x:v>REVIEWER ROUTE</x:v>
      </x:c>
    </x:row>
    <x:row r="22">
      <x:c r="A22" s="111" t="str">
        <x:v>Coupon annuity PV per 100% coupon</x:v>
      </x:c>
      <x:c r="B22" s="118" t="n">
        <x:f>'Inputs'!$B$8/'Inputs'!$B$9*SUMPRODUCT('Cash Flows'!$E$6:$E$45,'Cash Flows'!$G$6:$G$45)</x:f>
        <x:v>3997452.625133771</x:v>
      </x:c>
      <x:c r="C22" s="111"/>
      <x:c r="D22" s="111"/>
      <x:c r="E22" s="50" t="str">
        <x:v>Step</x:v>
      </x:c>
      <x:c r="F22" s="51" t="str">
        <x:v>Action</x:v>
      </x:c>
      <x:c r="G22" s="51" t="str">
        <x:v>Evidence</x:v>
      </x:c>
      <x:c r="H22" s="52" t="str">
        <x:v>Approx. time</x:v>
      </x:c>
    </x:row>
    <x:row r="23">
      <x:c r="A23" s="111" t="str">
        <x:v>Recovery PV</x:v>
      </x:c>
      <x:c r="B23" s="118" t="n">
        <x:f>'Inputs'!$B$8*'Inputs'!$B$36*SUMPRODUCT('Cash Flows'!$F$6:$F$45,'Cash Flows'!$G$6:$G$45)</x:f>
        <x:v>73708.111066476</x:v>
      </x:c>
      <x:c r="C23" s="111"/>
      <x:c r="D23" s="111"/>
      <x:c r="E23" s="115" t="n">
        <x:v>1</x:v>
      </x:c>
      <x:c r="F23" s="116" t="str">
        <x:v>Read the Summary</x:v>
      </x:c>
      <x:c r="G23" s="116" t="str">
        <x:v>Product map and economics</x:v>
      </x:c>
      <x:c r="H23" s="117" t="str">
        <x:v>45 sec</x:v>
      </x:c>
    </x:row>
    <x:row r="24">
      <x:c r="A24" s="111" t="str">
        <x:v>Principal PV</x:v>
      </x:c>
      <x:c r="B24" s="118" t="n">
        <x:f>SUMPRODUCT('Cash Flows'!$K$6:$K$45,'Cash Flows'!$G$6:$G$45)</x:f>
        <x:v>642963.9210462974</x:v>
      </x:c>
      <x:c r="C24" s="111"/>
      <x:c r="D24" s="111"/>
      <x:c r="E24" s="115" t="n">
        <x:v>2</x:v>
      </x:c>
      <x:c r="F24" s="116" t="str">
        <x:v>Change Inputs B6, B16 or B17</x:v>
      </x:c>
      <x:c r="G24" s="116" t="str">
        <x:v>Reusable product template</x:v>
      </x:c>
      <x:c r="H24" s="117" t="str">
        <x:v>60 sec</x:v>
      </x:c>
    </x:row>
    <x:row r="25">
      <x:c r="A25" s="111" t="str">
        <x:v>Note liability PV</x:v>
      </x:c>
      <x:c r="B25" s="118" t="n">
        <x:f>SUM('Cash Flows'!$M$6:$M$45)</x:f>
        <x:v>1006487.3474349717</x:v>
      </x:c>
      <x:c r="C25" s="111"/>
      <x:c r="D25" s="111"/>
      <x:c r="E25" s="115" t="n">
        <x:v>3</x:v>
      </x:c>
      <x:c r="F25" s="116" t="str">
        <x:v>Inspect Cash Flows</x:v>
      </x:c>
      <x:c r="G25" s="116" t="str">
        <x:v>Default and survival mechanics</x:v>
      </x:c>
      <x:c r="H25" s="117" t="str">
        <x:v>75 sec</x:v>
      </x:c>
    </x:row>
    <x:row r="26">
      <x:c r="A26" s="111" t="str">
        <x:v>Reference asset PV</x:v>
      </x:c>
      <x:c r="B26" s="118" t="n">
        <x:f>SUMPRODUCT('Cash Flows'!$P$6:$P$45,'Cash Flows'!$G$6:$G$45)</x:f>
        <x:v>0</x:v>
      </x:c>
      <x:c r="C26" s="111"/>
      <x:c r="D26" s="111"/>
      <x:c r="E26" s="115" t="n">
        <x:v>4</x:v>
      </x:c>
      <x:c r="F26" s="116" t="str">
        <x:v>Review Sensitivities</x:v>
      </x:c>
      <x:c r="G26" s="116" t="str">
        <x:v>Spread and recovery risk</x:v>
      </x:c>
      <x:c r="H26" s="117" t="str">
        <x:v>60 sec</x:v>
      </x:c>
    </x:row>
    <x:row r="27">
      <x:c r="A27" s="111" t="str">
        <x:v>Issue proceeds</x:v>
      </x:c>
      <x:c r="B27" s="118" t="n">
        <x:f>'Inputs'!$B$8*'Inputs'!$B$11</x:f>
        <x:v>1000000</x:v>
      </x:c>
      <x:c r="C27" s="111"/>
      <x:c r="D27" s="111"/>
      <x:c r="E27" s="115" t="n">
        <x:v>5</x:v>
      </x:c>
      <x:c r="F27" s="116" t="str">
        <x:v>Confirm Checks</x:v>
      </x:c>
      <x:c r="G27" s="116" t="str">
        <x:v>Controls and Python cross-check</x:v>
      </x:c>
      <x:c r="H27" s="117" t="str">
        <x:v>60 sec</x:v>
      </x:c>
    </x:row>
    <x:row r="28">
      <x:c r="A28" s="111" t="str">
        <x:v>Fair-coupon denominator</x:v>
      </x:c>
      <x:c r="B28" s="118" t="n">
        <x:f>B22</x:f>
        <x:v>3997452.625133771</x:v>
      </x:c>
      <x:c r="C28" s="111"/>
      <x:c r="D28" s="111"/>
      <x:c r="E28" s="115"/>
      <x:c r="F28" s="116"/>
      <x:c r="G28" s="116"/>
      <x:c r="H28" s="117"/>
    </x:row>
    <x:row r="29">
      <x:c r="A29" s="111" t="str">
        <x:v>Fair-coupon recovery term</x:v>
      </x:c>
      <x:c r="B29" s="118" t="n">
        <x:f>B23</x:f>
        <x:v>73708.111066476</x:v>
      </x:c>
      <x:c r="C29" s="111"/>
      <x:c r="D29" s="111"/>
      <x:c r="E29" s="115" t="str">
        <x:v>Production extensions</x:v>
      </x:c>
      <x:c r="F29" s="116" t="str">
        <x:v>Market curves, ISDA settlement, counterparty risk and booking integration</x:v>
      </x:c>
      <x:c r="G29" s="116" t="str">
        <x:v>Explicitly excluded</x:v>
      </x:c>
      <x:c r="H29" s="117" t="str">
        <x:v>Discussion</x:v>
      </x:c>
    </x:row>
    <x:row r="30">
      <x:c r="A30" s="111" t="str">
        <x:v>Fair-coupon principal term</x:v>
      </x:c>
      <x:c r="B30" s="118" t="n">
        <x:f>B24</x:f>
        <x:v>642963.9210462974</x:v>
      </x:c>
      <x:c r="C30" s="111"/>
      <x:c r="D30" s="111"/>
      <x:c r="E30" s="120" t="str">
        <x:v>Source of truth</x:v>
      </x:c>
      <x:c r="F30" s="121" t="str">
        <x:v>Python engine with an independent formula mirror in Excel</x:v>
      </x:c>
      <x:c r="G30" s="121" t="str">
        <x:v>Tests plus workbook checks</x:v>
      </x:c>
      <x:c r="H30" s="122" t="str">
        <x:v>Discussion</x:v>
      </x:c>
    </x:row>
    <x:row r="31">
      <x:c r="A31" s="111" t="str">
        <x:v>Operating-cost PV</x:v>
      </x:c>
      <x:c r="B31" s="118" t="n">
        <x:f>SUMPRODUCT('Cash Flows'!$Q$6:$Q$45,'Cash Flows'!$G$6:$G$45)</x:f>
        <x:v>0</x:v>
      </x:c>
      <x:c r="C31" s="111"/>
      <x:c r="D31" s="111"/>
      <x:c r="E31" s="111"/>
      <x:c r="F31" s="111"/>
      <x:c r="G31" s="111"/>
      <x:c r="H31" s="111"/>
    </x:row>
  </x:sheetData>
  <x:mergeCells>
    <x:mergeCell ref="A1:H1"/>
    <x:mergeCell ref="A3:H3"/>
    <x:mergeCell ref="A5:D5"/>
    <x:mergeCell ref="E5:H5"/>
    <x:mergeCell ref="A21:D21"/>
    <x:mergeCell ref="E21:H21"/>
  </x:mergeCells>
  <x:conditionalFormatting sqref="B18:B18">
    <x:cfRule type="containsText" dxfId="2" priority="1" operator="containsText" text="OK"/>
    <x:cfRule type="containsText" dxfId="3" priority="2" operator="containsText" text="WARN"/>
    <x:cfRule type="containsText" dxfId="4" priority="3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58" hidden="0" customWidth="1"/>
    <x:col min="5" max="5" width="12" hidden="0" customWidth="1"/>
    <x:col min="6" max="6" width="12" hidden="0" customWidth="1"/>
  </x:cols>
  <x:sheetData>
    <x:row r="1" ht="30" customHeight="1">
      <x:c r="A1" s="178" t="str">
        <x:v>CREDIT STRUCTURING CASH-FLOW ENGINE | INPUTS</x:v>
      </x:c>
      <x:c r="B1" s="178" t="str">
        <x:v>CREDIT STRUCTURING CASH-FLOW ENGINE | INPUTS</x:v>
      </x:c>
      <x:c r="C1" s="178" t="str">
        <x:v>CREDIT STRUCTURING CASH-FLOW ENGINE | INPUTS</x:v>
      </x:c>
      <x:c r="D1" s="178" t="str">
        <x:v>CREDIT STRUCTURING CASH-FLOW ENGINE | INPUTS</x:v>
      </x:c>
      <x:c r="E1" s="178" t="str">
        <x:v>CREDIT STRUCTURING CASH-FLOW ENGINE | INPUTS</x:v>
      </x:c>
      <x:c r="F1" s="178" t="str">
        <x:v>CREDIT STRUCTURING CASH-FLOW ENGINE | INPUTS</x:v>
      </x:c>
    </x:row>
    <x:row r="2">
      <x:c r="A2" s="111"/>
      <x:c r="B2" s="111"/>
      <x:c r="C2" s="111"/>
      <x:c r="D2" s="111"/>
      <x:c r="E2" s="111"/>
      <x:c r="F2" s="111"/>
    </x:row>
    <x:row r="3">
      <x:c r="A3" s="112" t="str">
        <x:v>Synthetic, educational assumptions | Change blue cells only | GBP unless stated</x:v>
      </x:c>
      <x:c r="B3" s="112"/>
      <x:c r="C3" s="112"/>
      <x:c r="D3" s="112"/>
      <x:c r="E3" s="112"/>
      <x:c r="F3" s="112"/>
    </x:row>
    <x:row r="4">
      <x:c r="A4" s="111"/>
      <x:c r="B4" s="111"/>
      <x:c r="C4" s="111"/>
      <x:c r="D4" s="111"/>
      <x:c r="E4" s="111"/>
      <x:c r="F4" s="111"/>
    </x:row>
    <x:row r="5" ht="21" customHeight="1">
      <x:c r="A5" s="10" t="str">
        <x:v>PRODUCT TERMS</x:v>
      </x:c>
      <x:c r="B5" s="10" t="str">
        <x:v>PRODUCT TERMS</x:v>
      </x:c>
      <x:c r="C5" s="10" t="str">
        <x:v>PRODUCT TERMS</x:v>
      </x:c>
      <x:c r="D5" s="10" t="str">
        <x:v>PRODUCT TERMS</x:v>
      </x:c>
      <x:c r="E5" s="10" t="str">
        <x:v>PRODUCT TERMS</x:v>
      </x:c>
      <x:c r="F5" s="10" t="str">
        <x:v>PRODUCT TERMS</x:v>
      </x:c>
    </x:row>
    <x:row r="6">
      <x:c r="A6" s="124" t="str">
        <x:v>Product mode</x:v>
      </x:c>
      <x:c r="B6" s="125" t="str">
        <x:v>CLN</x:v>
      </x:c>
      <x:c r="C6" s="126" t="str">
        <x:v>text</x:v>
      </x:c>
      <x:c r="D6" s="127" t="str">
        <x:v>CLN or REPACK</x:v>
      </x:c>
      <x:c r="E6" s="128"/>
      <x:c r="F6" s="128"/>
    </x:row>
    <x:row r="7">
      <x:c r="A7" s="129" t="str">
        <x:v>Currency</x:v>
      </x:c>
      <x:c r="B7" s="130" t="str">
        <x:v>GBP</x:v>
      </x:c>
      <x:c r="C7" s="131" t="str">
        <x:v>text</x:v>
      </x:c>
      <x:c r="D7" s="132" t="str">
        <x:v>Display convention only</x:v>
      </x:c>
      <x:c r="E7" s="128"/>
      <x:c r="F7" s="128"/>
    </x:row>
    <x:row r="8">
      <x:c r="A8" s="129" t="str">
        <x:v>Note notional</x:v>
      </x:c>
      <x:c r="B8" s="133" t="n">
        <x:v>1000000</x:v>
      </x:c>
      <x:c r="C8" s="131" t="str">
        <x:v>GBP</x:v>
      </x:c>
      <x:c r="D8" s="132" t="str">
        <x:v>Investor principal</x:v>
      </x:c>
      <x:c r="E8" s="128"/>
      <x:c r="F8" s="128"/>
    </x:row>
    <x:row r="9">
      <x:c r="A9" s="129" t="str">
        <x:v>Payments per year</x:v>
      </x:c>
      <x:c r="B9" s="134" t="n">
        <x:v>4</x:v>
      </x:c>
      <x:c r="C9" s="131" t="str">
        <x:v>count</x:v>
      </x:c>
      <x:c r="D9" s="132" t="str">
        <x:v>Quarterly in the base case</x:v>
      </x:c>
      <x:c r="E9" s="128"/>
      <x:c r="F9" s="128"/>
    </x:row>
    <x:row r="10">
      <x:c r="A10" s="129" t="str">
        <x:v>Maturity</x:v>
      </x:c>
      <x:c r="B10" s="134" t="n">
        <x:v>5</x:v>
      </x:c>
      <x:c r="C10" s="131" t="str">
        <x:v>years</x:v>
      </x:c>
      <x:c r="D10" s="132" t="str">
        <x:v>Whole years in this compact model</x:v>
      </x:c>
      <x:c r="E10" s="128"/>
      <x:c r="F10" s="128"/>
    </x:row>
    <x:row r="11">
      <x:c r="A11" s="129" t="str">
        <x:v>Issue price</x:v>
      </x:c>
      <x:c r="B11" s="135" t="n">
        <x:v>1</x:v>
      </x:c>
      <x:c r="C11" s="131" t="str">
        <x:v>% par</x:v>
      </x:c>
      <x:c r="D11" s="132" t="str">
        <x:v>Cash paid for the note, excluding fee</x:v>
      </x:c>
      <x:c r="E11" s="128"/>
      <x:c r="F11" s="128"/>
    </x:row>
    <x:row r="12">
      <x:c r="A12" s="129" t="str">
        <x:v>Upfront structuring fee</x:v>
      </x:c>
      <x:c r="B12" s="135" t="n">
        <x:v>0</x:v>
      </x:c>
      <x:c r="C12" s="131" t="str">
        <x:v>% notional</x:v>
      </x:c>
      <x:c r="D12" s="132" t="str">
        <x:v>Optional Excel-layer fee; zero in the Python base case</x:v>
      </x:c>
      <x:c r="E12" s="128"/>
      <x:c r="F12" s="128"/>
    </x:row>
    <x:row r="13">
      <x:c r="A13" s="129" t="str">
        <x:v>Issuance / setup cost</x:v>
      </x:c>
      <x:c r="B13" s="135" t="n">
        <x:v>0</x:v>
      </x:c>
      <x:c r="C13" s="131" t="str">
        <x:v>% notional</x:v>
      </x:c>
      <x:c r="D13" s="132" t="str">
        <x:v>Optional Excel-layer cost; zero in the Python base case</x:v>
      </x:c>
      <x:c r="E13" s="128"/>
      <x:c r="F13" s="128"/>
    </x:row>
    <x:row r="14">
      <x:c r="A14" s="129"/>
      <x:c r="B14" s="130"/>
      <x:c r="C14" s="131"/>
      <x:c r="D14" s="132"/>
      <x:c r="E14" s="128"/>
      <x:c r="F14" s="128"/>
    </x:row>
    <x:row r="15" ht="21" customHeight="1">
      <x:c r="A15" s="40" t="str">
        <x:v>CREDIT AND FUNDING ASSUMPTIONS</x:v>
      </x:c>
      <x:c r="B15" s="41" t="str">
        <x:v>CREDIT AND FUNDING ASSUMPTIONS</x:v>
      </x:c>
      <x:c r="C15" s="42" t="str">
        <x:v>CREDIT AND FUNDING ASSUMPTIONS</x:v>
      </x:c>
      <x:c r="D15" s="61" t="str">
        <x:v>CREDIT AND FUNDING ASSUMPTIONS</x:v>
      </x:c>
      <x:c r="E15" s="64" t="str">
        <x:v>CREDIT AND FUNDING ASSUMPTIONS</x:v>
      </x:c>
      <x:c r="F15" s="64" t="str">
        <x:v>CREDIT AND FUNDING ASSUMPTIONS</x:v>
      </x:c>
    </x:row>
    <x:row r="16">
      <x:c r="A16" s="129" t="str">
        <x:v>Reference credit spread</x:v>
      </x:c>
      <x:c r="B16" s="135" t="n">
        <x:v>0.0275</x:v>
      </x:c>
      <x:c r="C16" s="131" t="str">
        <x:v>%</x:v>
      </x:c>
      <x:c r="D16" s="132" t="str">
        <x:v>Flat spread used to infer a constant hazard rate</x:v>
      </x:c>
      <x:c r="E16" s="128"/>
      <x:c r="F16" s="128"/>
    </x:row>
    <x:row r="17">
      <x:c r="A17" s="129" t="str">
        <x:v>Reference recovery</x:v>
      </x:c>
      <x:c r="B17" s="135" t="n">
        <x:v>0.4</x:v>
      </x:c>
      <x:c r="C17" s="131" t="str">
        <x:v>%</x:v>
      </x:c>
      <x:c r="D17" s="132" t="str">
        <x:v>Fractional recovery of par</x:v>
      </x:c>
      <x:c r="E17" s="128"/>
      <x:c r="F17" s="128"/>
    </x:row>
    <x:row r="18">
      <x:c r="A18" s="129" t="str">
        <x:v>Discount rate</x:v>
      </x:c>
      <x:c r="B18" s="135" t="n">
        <x:v>0.0425</x:v>
      </x:c>
      <x:c r="C18" s="131" t="str">
        <x:v>%</x:v>
      </x:c>
      <x:c r="D18" s="132" t="str">
        <x:v>Flat continuously compounded valuation rate</x:v>
      </x:c>
      <x:c r="E18" s="128"/>
      <x:c r="F18" s="128"/>
    </x:row>
    <x:row r="19">
      <x:c r="A19" s="129" t="str">
        <x:v>Funding benchmark rate</x:v>
      </x:c>
      <x:c r="B19" s="135" t="n">
        <x:v>0.0425</x:v>
      </x:c>
      <x:c r="C19" s="131" t="str">
        <x:v>%</x:v>
      </x:c>
      <x:c r="D19" s="132" t="str">
        <x:v>Decomposes note coupon into funding and credit margin</x:v>
      </x:c>
      <x:c r="E19" s="128"/>
      <x:c r="F19" s="128"/>
    </x:row>
    <x:row r="20">
      <x:c r="A20" s="129" t="str">
        <x:v>Funding spread over discount</x:v>
      </x:c>
      <x:c r="B20" s="136" t="n">
        <x:f>B19-B18</x:f>
        <x:v>0</x:v>
      </x:c>
      <x:c r="C20" s="131" t="str">
        <x:v>%</x:v>
      </x:c>
      <x:c r="D20" s="132" t="str">
        <x:v>Funding benchmark less discount rate</x:v>
      </x:c>
      <x:c r="E20" s="128"/>
      <x:c r="F20" s="128"/>
    </x:row>
    <x:row r="21">
      <x:c r="A21" s="129" t="str">
        <x:v>Repack recovery adjustment</x:v>
      </x:c>
      <x:c r="B21" s="135" t="n">
        <x:v>0</x:v>
      </x:c>
      <x:c r="C21" s="131" t="str">
        <x:v>% par</x:v>
      </x:c>
      <x:c r="D21" s="132" t="str">
        <x:v>Optional stress deduction; zero in the Python model</x:v>
      </x:c>
      <x:c r="E21" s="128"/>
      <x:c r="F21" s="128"/>
    </x:row>
    <x:row r="22">
      <x:c r="A22" s="129" t="str">
        <x:v>Static secured-funding haircut</x:v>
      </x:c>
      <x:c r="B22" s="135" t="n">
        <x:v>0.1</x:v>
      </x:c>
      <x:c r="C22" s="131" t="str">
        <x:v>% collateral</x:v>
      </x:c>
      <x:c r="D22" s="132" t="str">
        <x:v>Displayed for transaction economics; no margin calls modelled</x:v>
      </x:c>
      <x:c r="E22" s="128"/>
      <x:c r="F22" s="128"/>
    </x:row>
    <x:row r="23">
      <x:c r="A23" s="129"/>
      <x:c r="B23" s="131"/>
      <x:c r="C23" s="131"/>
      <x:c r="D23" s="132"/>
      <x:c r="E23" s="128"/>
      <x:c r="F23" s="128"/>
    </x:row>
    <x:row r="24" ht="21" customHeight="1">
      <x:c r="A24" s="40" t="str">
        <x:v>CLN TERMS</x:v>
      </x:c>
      <x:c r="B24" s="42" t="str">
        <x:v>CLN TERMS</x:v>
      </x:c>
      <x:c r="C24" s="42" t="str">
        <x:v>CLN TERMS</x:v>
      </x:c>
      <x:c r="D24" s="61" t="str">
        <x:v>CLN TERMS</x:v>
      </x:c>
      <x:c r="E24" s="64" t="str">
        <x:v>CLN TERMS</x:v>
      </x:c>
      <x:c r="F24" s="64" t="str">
        <x:v>CLN TERMS</x:v>
      </x:c>
    </x:row>
    <x:row r="25">
      <x:c r="A25" s="129" t="str">
        <x:v>CLN note coupon</x:v>
      </x:c>
      <x:c r="B25" s="135" t="n">
        <x:v>0.0725</x:v>
      </x:c>
      <x:c r="C25" s="131" t="str">
        <x:v>%</x:v>
      </x:c>
      <x:c r="D25" s="132" t="str">
        <x:v>Contractual annual coupon</x:v>
      </x:c>
      <x:c r="E25" s="128"/>
      <x:c r="F25" s="128"/>
    </x:row>
    <x:row r="26">
      <x:c r="A26" s="129"/>
      <x:c r="B26" s="131"/>
      <x:c r="C26" s="131"/>
      <x:c r="D26" s="132"/>
      <x:c r="E26" s="128"/>
      <x:c r="F26" s="128"/>
    </x:row>
    <x:row r="27" ht="21" customHeight="1">
      <x:c r="A27" s="40" t="str">
        <x:v>REPACK TERMS</x:v>
      </x:c>
      <x:c r="B27" s="42" t="str">
        <x:v>REPACK TERMS</x:v>
      </x:c>
      <x:c r="C27" s="42" t="str">
        <x:v>REPACK TERMS</x:v>
      </x:c>
      <x:c r="D27" s="61" t="str">
        <x:v>REPACK TERMS</x:v>
      </x:c>
      <x:c r="E27" s="64" t="str">
        <x:v>REPACK TERMS</x:v>
      </x:c>
      <x:c r="F27" s="64" t="str">
        <x:v>REPACK TERMS</x:v>
      </x:c>
    </x:row>
    <x:row r="28">
      <x:c r="A28" s="129" t="str">
        <x:v>Reference bond coupon</x:v>
      </x:c>
      <x:c r="B28" s="135" t="n">
        <x:v>0.065</x:v>
      </x:c>
      <x:c r="C28" s="131" t="str">
        <x:v>%</x:v>
      </x:c>
      <x:c r="D28" s="132" t="str">
        <x:v>Annual coupon on the purchased bond</x:v>
      </x:c>
      <x:c r="E28" s="128"/>
      <x:c r="F28" s="128"/>
    </x:row>
    <x:row r="29">
      <x:c r="A29" s="129" t="str">
        <x:v>Reference bond purchase price</x:v>
      </x:c>
      <x:c r="B29" s="135" t="n">
        <x:v>1</x:v>
      </x:c>
      <x:c r="C29" s="131" t="str">
        <x:v>% par</x:v>
      </x:c>
      <x:c r="D29" s="132" t="str">
        <x:v>Initial collateral cash outflow</x:v>
      </x:c>
      <x:c r="E29" s="128"/>
      <x:c r="F29" s="128"/>
    </x:row>
    <x:row r="30">
      <x:c r="A30" s="129" t="str">
        <x:v>SPV annual administration fee</x:v>
      </x:c>
      <x:c r="B30" s="135" t="n">
        <x:v>0.0015</x:v>
      </x:c>
      <x:c r="C30" s="131" t="str">
        <x:v>%</x:v>
      </x:c>
      <x:c r="D30" s="132" t="str">
        <x:v>Deducted from bond coupon</x:v>
      </x:c>
      <x:c r="E30" s="128"/>
      <x:c r="F30" s="128"/>
    </x:row>
    <x:row r="31">
      <x:c r="A31" s="129" t="str">
        <x:v>Funding / hedge cost</x:v>
      </x:c>
      <x:c r="B31" s="135" t="n">
        <x:v>0.005</x:v>
      </x:c>
      <x:c r="C31" s="131" t="str">
        <x:v>%</x:v>
      </x:c>
      <x:c r="D31" s="132" t="str">
        <x:v>Deducted from bond coupon</x:v>
      </x:c>
      <x:c r="E31" s="128"/>
      <x:c r="F31" s="128"/>
    </x:row>
    <x:row r="32">
      <x:c r="A32" s="129"/>
      <x:c r="B32" s="131"/>
      <x:c r="C32" s="131"/>
      <x:c r="D32" s="132"/>
      <x:c r="E32" s="128"/>
      <x:c r="F32" s="128"/>
    </x:row>
    <x:row r="33" ht="21" customHeight="1">
      <x:c r="A33" s="40" t="str">
        <x:v>DERIVED MODEL TERMS</x:v>
      </x:c>
      <x:c r="B33" s="42" t="str">
        <x:v>DERIVED MODEL TERMS</x:v>
      </x:c>
      <x:c r="C33" s="42" t="str">
        <x:v>DERIVED MODEL TERMS</x:v>
      </x:c>
      <x:c r="D33" s="61" t="str">
        <x:v>DERIVED MODEL TERMS</x:v>
      </x:c>
      <x:c r="E33" s="64" t="str">
        <x:v>DERIVED MODEL TERMS</x:v>
      </x:c>
      <x:c r="F33" s="64" t="str">
        <x:v>DERIVED MODEL TERMS</x:v>
      </x:c>
    </x:row>
    <x:row r="34">
      <x:c r="A34" s="129" t="str">
        <x:v>Constant hazard rate</x:v>
      </x:c>
      <x:c r="B34" s="137" t="n">
        <x:f>IF(B17&lt;1,B16/(1-B17),0)</x:f>
        <x:v>0.04583333333333334</x:v>
      </x:c>
      <x:c r="C34" s="131" t="str">
        <x:v>%</x:v>
      </x:c>
      <x:c r="D34" s="132" t="str">
        <x:v>Credit spread divided by loss given default</x:v>
      </x:c>
      <x:c r="E34" s="128"/>
      <x:c r="F34" s="128"/>
    </x:row>
    <x:row r="35">
      <x:c r="A35" s="129" t="str">
        <x:v>Effective note coupon</x:v>
      </x:c>
      <x:c r="B35" s="137" t="n">
        <x:f>IF(B6="CLN",B25,MAX(0,B28-B30-B31))</x:f>
        <x:v>0.0725</x:v>
      </x:c>
      <x:c r="C35" s="131" t="str">
        <x:v>%</x:v>
      </x:c>
      <x:c r="D35" s="132" t="str">
        <x:v>CLN coupon or repack pass-through coupon</x:v>
      </x:c>
      <x:c r="E35" s="128"/>
      <x:c r="F35" s="128"/>
    </x:row>
    <x:row r="36">
      <x:c r="A36" s="129" t="str">
        <x:v>Effective note recovery</x:v>
      </x:c>
      <x:c r="B36" s="137" t="n">
        <x:f>MAX(0,B17-IF(B6="REPACK",B21,0))</x:f>
        <x:v>0.4</x:v>
      </x:c>
      <x:c r="C36" s="131" t="str">
        <x:v>%</x:v>
      </x:c>
      <x:c r="D36" s="132" t="str">
        <x:v>Reference recovery net of optional repack adjustment</x:v>
      </x:c>
      <x:c r="E36" s="128"/>
      <x:c r="F36" s="128"/>
    </x:row>
    <x:row r="37">
      <x:c r="A37" s="138" t="str">
        <x:v>Active period count</x:v>
      </x:c>
      <x:c r="B37" s="139" t="n">
        <x:f>B9*B10</x:f>
        <x:v>20</x:v>
      </x:c>
      <x:c r="C37" s="140" t="str">
        <x:v>count</x:v>
      </x:c>
      <x:c r="D37" s="141" t="str">
        <x:v>Maturity multiplied by payment frequency</x:v>
      </x:c>
      <x:c r="E37" s="128"/>
      <x:c r="F37" s="128"/>
    </x:row>
    <x:row r="38">
      <x:c r="A38" s="111"/>
      <x:c r="B38" s="111"/>
      <x:c r="C38" s="111"/>
      <x:c r="D38" s="111"/>
      <x:c r="E38" s="111"/>
      <x:c r="F38" s="111"/>
    </x:row>
    <x:row r="39">
      <x:c r="A39" s="111"/>
      <x:c r="B39" s="111"/>
      <x:c r="C39" s="111"/>
      <x:c r="D39" s="111"/>
      <x:c r="E39" s="111"/>
      <x:c r="F39" s="111"/>
    </x:row>
    <x:row r="40" ht="21" customHeight="1">
      <x:c r="A40" s="10" t="str">
        <x:v>ILLUSTRATIVE SCENARIO LIBRARY</x:v>
      </x:c>
      <x:c r="B40" s="10" t="str">
        <x:v>ILLUSTRATIVE SCENARIO LIBRARY</x:v>
      </x:c>
      <x:c r="C40" s="10" t="str">
        <x:v>ILLUSTRATIVE SCENARIO LIBRARY</x:v>
      </x:c>
      <x:c r="D40" s="10" t="str">
        <x:v>ILLUSTRATIVE SCENARIO LIBRARY</x:v>
      </x:c>
      <x:c r="E40" s="10" t="str">
        <x:v>ILLUSTRATIVE SCENARIO LIBRARY</x:v>
      </x:c>
      <x:c r="F40" s="10" t="str">
        <x:v>ILLUSTRATIVE SCENARIO LIBRARY</x:v>
      </x:c>
    </x:row>
    <x:row r="41">
      <x:c r="A41" s="50" t="str">
        <x:v>Scenario</x:v>
      </x:c>
      <x:c r="B41" s="51" t="str">
        <x:v>Credit spread</x:v>
      </x:c>
      <x:c r="C41" s="51" t="str">
        <x:v>Recovery</x:v>
      </x:c>
      <x:c r="D41" s="51" t="str">
        <x:v>Discount rate</x:v>
      </x:c>
      <x:c r="E41" s="52" t="str">
        <x:v>Use</x:v>
      </x:c>
      <x:c r="F41" s="111"/>
    </x:row>
    <x:row r="42">
      <x:c r="A42" s="142" t="str">
        <x:v>Base</x:v>
      </x:c>
      <x:c r="B42" s="143" t="n">
        <x:v>0.0275</x:v>
      </x:c>
      <x:c r="C42" s="143" t="n">
        <x:v>0.4</x:v>
      </x:c>
      <x:c r="D42" s="143" t="n">
        <x:v>0.0425</x:v>
      </x:c>
      <x:c r="E42" s="144" t="str">
        <x:v>Starting case</x:v>
      </x:c>
      <x:c r="F42" s="111"/>
    </x:row>
    <x:row r="43">
      <x:c r="A43" s="142" t="str">
        <x:v>Tighter spread</x:v>
      </x:c>
      <x:c r="B43" s="143" t="n">
        <x:v>0.015</x:v>
      </x:c>
      <x:c r="C43" s="143" t="n">
        <x:v>0.4</x:v>
      </x:c>
      <x:c r="D43" s="143" t="n">
        <x:v>0.035</x:v>
      </x:c>
      <x:c r="E43" s="144" t="str">
        <x:v>Favourable credit move</x:v>
      </x:c>
      <x:c r="F43" s="111"/>
    </x:row>
    <x:row r="44">
      <x:c r="A44" s="142" t="str">
        <x:v>Wider spread</x:v>
      </x:c>
      <x:c r="B44" s="143" t="n">
        <x:v>0.04</x:v>
      </x:c>
      <x:c r="C44" s="143" t="n">
        <x:v>0.4</x:v>
      </x:c>
      <x:c r="D44" s="143" t="n">
        <x:v>0.045</x:v>
      </x:c>
      <x:c r="E44" s="144" t="str">
        <x:v>Downside repricing</x:v>
      </x:c>
      <x:c r="F44" s="111"/>
    </x:row>
    <x:row r="45">
      <x:c r="A45" s="142" t="str">
        <x:v>Lower recovery</x:v>
      </x:c>
      <x:c r="B45" s="143" t="n">
        <x:v>0.025</x:v>
      </x:c>
      <x:c r="C45" s="143" t="n">
        <x:v>0.25</x:v>
      </x:c>
      <x:c r="D45" s="143" t="n">
        <x:v>0.04</x:v>
      </x:c>
      <x:c r="E45" s="144" t="str">
        <x:v>Loss-severity stress</x:v>
      </x:c>
      <x:c r="F45" s="111"/>
    </x:row>
    <x:row r="46">
      <x:c r="A46" s="145" t="str">
        <x:v>Combined stress</x:v>
      </x:c>
      <x:c r="B46" s="146" t="n">
        <x:v>0.06</x:v>
      </x:c>
      <x:c r="C46" s="146" t="n">
        <x:v>0.2</x:v>
      </x:c>
      <x:c r="D46" s="146" t="n">
        <x:v>0.05</x:v>
      </x:c>
      <x:c r="E46" s="147" t="str">
        <x:v>Severe synthetic case</x:v>
      </x:c>
      <x:c r="F46" s="111"/>
    </x:row>
  </x:sheetData>
  <x:mergeCells>
    <x:mergeCell ref="A1:F1"/>
    <x:mergeCell ref="A3:F3"/>
    <x:mergeCell ref="A5:F5"/>
    <x:mergeCell ref="A15:F15"/>
    <x:mergeCell ref="A24:F24"/>
    <x:mergeCell ref="A27:F27"/>
    <x:mergeCell ref="A33:F33"/>
    <x:mergeCell ref="A40:F40"/>
  </x:mergeCells>
  <x:dataValidations count="2">
    <x:dataValidation type="list" sqref="B6">
      <x:formula1>"CLN,REPACK"</x:formula1>
    </x:dataValidation>
    <x:dataValidation type="list" sqref="B9">
      <x:formula1>"1,2,4"</x:formula1>
    </x:dataValidation>
  </x:dataValidations>
  <x:pageMargins left="0.7" right="0.7" top="0.75" bottom="0.75" header="0.3" footer="0.3"/>
  <x:legacyDrawing xmlns:r="http://schemas.openxmlformats.org/officeDocument/2006/relationships" r:id="Rb18c27470f85440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8" hidden="0" customWidth="1"/>
    <x:col min="9" max="9" width="17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9" hidden="0" customWidth="1"/>
    <x:col min="16" max="16" width="22" hidden="0" customWidth="1"/>
    <x:col min="17" max="17" width="20" hidden="0" customWidth="1"/>
    <x:col min="18" max="18" width="22" hidden="0" customWidth="1"/>
    <x:col min="19" max="19" width="20" hidden="0" customWidth="1"/>
  </x:cols>
  <x:sheetData>
    <x:row r="1" ht="30" customHeight="1">
      <x:c r="A1" s="178" t="str">
        <x:v>CREDIT STRUCTURING CASH-FLOW ENGINE | EXPECTED CASH FLOWS</x:v>
      </x:c>
      <x:c r="B1" s="178" t="str">
        <x:v>CREDIT STRUCTURING CASH-FLOW ENGINE | EXPECTED CASH FLOWS</x:v>
      </x:c>
      <x:c r="C1" s="178" t="str">
        <x:v>CREDIT STRUCTURING CASH-FLOW ENGINE | EXPECTED CASH FLOWS</x:v>
      </x:c>
      <x:c r="D1" s="178" t="str">
        <x:v>CREDIT STRUCTURING CASH-FLOW ENGINE | EXPECTED CASH FLOWS</x:v>
      </x:c>
      <x:c r="E1" s="178" t="str">
        <x:v>CREDIT STRUCTURING CASH-FLOW ENGINE | EXPECTED CASH FLOWS</x:v>
      </x:c>
      <x:c r="F1" s="178" t="str">
        <x:v>CREDIT STRUCTURING CASH-FLOW ENGINE | EXPECTED CASH FLOWS</x:v>
      </x:c>
      <x:c r="G1" s="178" t="str">
        <x:v>CREDIT STRUCTURING CASH-FLOW ENGINE | EXPECTED CASH FLOWS</x:v>
      </x:c>
      <x:c r="H1" s="178" t="str">
        <x:v>CREDIT STRUCTURING CASH-FLOW ENGINE | EXPECTED CASH FLOWS</x:v>
      </x:c>
      <x:c r="I1" s="178" t="str">
        <x:v>CREDIT STRUCTURING CASH-FLOW ENGINE | EXPECTED CASH FLOWS</x:v>
      </x:c>
      <x:c r="J1" s="178" t="str">
        <x:v>CREDIT STRUCTURING CASH-FLOW ENGINE | EXPECTED CASH FLOWS</x:v>
      </x:c>
      <x:c r="K1" s="178" t="str">
        <x:v>CREDIT STRUCTURING CASH-FLOW ENGINE | EXPECTED CASH FLOWS</x:v>
      </x:c>
      <x:c r="L1" s="178" t="str">
        <x:v>CREDIT STRUCTURING CASH-FLOW ENGINE | EXPECTED CASH FLOWS</x:v>
      </x:c>
      <x:c r="M1" s="178" t="str">
        <x:v>CREDIT STRUCTURING CASH-FLOW ENGINE | EXPECTED CASH FLOWS</x:v>
      </x:c>
      <x:c r="N1" s="178" t="str">
        <x:v>CREDIT STRUCTURING CASH-FLOW ENGINE | EXPECTED CASH FLOWS</x:v>
      </x:c>
      <x:c r="O1" s="178" t="str">
        <x:v>CREDIT STRUCTURING CASH-FLOW ENGINE | EXPECTED CASH FLOWS</x:v>
      </x:c>
      <x:c r="P1" s="178" t="str">
        <x:v>CREDIT STRUCTURING CASH-FLOW ENGINE | EXPECTED CASH FLOWS</x:v>
      </x:c>
      <x:c r="Q1" s="178" t="str">
        <x:v>CREDIT STRUCTURING CASH-FLOW ENGINE | EXPECTED CASH FLOWS</x:v>
      </x:c>
      <x:c r="R1" s="178" t="str">
        <x:v>CREDIT STRUCTURING CASH-FLOW ENGINE | EXPECTED CASH FLOWS</x:v>
      </x:c>
      <x:c r="S1" s="178" t="str">
        <x:v>CREDIT STRUCTURING CASH-FLOW ENGINE | EXPECTED CASH FLOWS</x:v>
      </x:c>
    </x:row>
    <x:row r="2">
      <x:c r="A2" s="111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</x:row>
    <x:row r="3">
      <x:c r="A3" s="112" t="str">
        <x:v>Constant-hazard expected cash flows | Default settles on the next scheduled payment date | Maximum 40 periods</x:v>
      </x:c>
      <x:c r="B3" s="112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  <x:c r="P3" s="112"/>
      <x:c r="Q3" s="112"/>
      <x:c r="R3" s="112"/>
      <x:c r="S3" s="112"/>
    </x:row>
    <x:row r="4">
      <x:c r="A4" s="111"/>
      <x:c r="B4" s="111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  <x:c r="P4" s="111"/>
      <x:c r="Q4" s="111"/>
      <x:c r="R4" s="111"/>
      <x:c r="S4" s="111"/>
    </x:row>
    <x:row r="5">
      <x:c r="A5" s="15" t="str">
        <x:v>Period</x:v>
      </x:c>
      <x:c r="B5" s="15" t="str">
        <x:v>End time</x:v>
      </x:c>
      <x:c r="C5" s="15" t="str">
        <x:v>Begin time</x:v>
      </x:c>
      <x:c r="D5" s="15" t="str">
        <x:v>Begin survival</x:v>
      </x:c>
      <x:c r="E5" s="15" t="str">
        <x:v>End survival</x:v>
      </x:c>
      <x:c r="F5" s="15" t="str">
        <x:v>Default probability</x:v>
      </x:c>
      <x:c r="G5" s="15" t="str">
        <x:v>Discount factor</x:v>
      </x:c>
      <x:c r="H5" s="15" t="str">
        <x:v>Contractual coupon</x:v>
      </x:c>
      <x:c r="I5" s="15" t="str">
        <x:v>Expected coupon</x:v>
      </x:c>
      <x:c r="J5" s="15" t="str">
        <x:v>Expected recovery</x:v>
      </x:c>
      <x:c r="K5" s="15" t="str">
        <x:v>Expected principal</x:v>
      </x:c>
      <x:c r="L5" s="15" t="str">
        <x:v>Expected note CF</x:v>
      </x:c>
      <x:c r="M5" s="15" t="str">
        <x:v>PV note CF</x:v>
      </x:c>
      <x:c r="N5" s="15" t="str">
        <x:v>Expected funding coupon</x:v>
      </x:c>
      <x:c r="O5" s="15" t="str">
        <x:v>Expected credit margin</x:v>
      </x:c>
      <x:c r="P5" s="15" t="str">
        <x:v>Expected reference asset CF</x:v>
      </x:c>
      <x:c r="Q5" s="15" t="str">
        <x:v>Expected operating cost</x:v>
      </x:c>
      <x:c r="R5" s="15" t="str">
        <x:v>Expected issuer / SPV CF</x:v>
      </x:c>
      <x:c r="S5" s="15" t="str">
        <x:v>PV issuer / SPV CF</x:v>
      </x:c>
    </x:row>
    <x:row r="6">
      <x:c r="A6" s="111" t="n">
        <x:v>1</x:v>
      </x:c>
      <x:c r="B6" s="148" t="n">
        <x:f>IF(A6&lt;='Inputs'!$B$37,A6/'Inputs'!$B$9,"")</x:f>
        <x:v>0.25</x:v>
      </x:c>
      <x:c r="C6" s="148" t="n">
        <x:f>IF(B6="","",MAX(0,B6-1/'Inputs'!$B$9))</x:f>
        <x:v>0</x:v>
      </x:c>
      <x:c r="D6" s="148" t="n">
        <x:f>IF(B6="","",EXP(-'Inputs'!$B$34*C6))</x:f>
        <x:v>1</x:v>
      </x:c>
      <x:c r="E6" s="148" t="n">
        <x:f>IF(B6="","",EXP(-'Inputs'!$B$34*B6))</x:f>
        <x:v>0.988607063350732</x:v>
      </x:c>
      <x:c r="F6" s="148" t="n">
        <x:f>IF(B6="","",D6-E6)</x:f>
        <x:v>0.011392936649267993</x:v>
      </x:c>
      <x:c r="G6" s="148" t="n">
        <x:f>IF(B6="","",EXP(-'Inputs'!$B$18*B6))</x:f>
        <x:v>0.989431245931904</x:v>
      </x:c>
      <x:c r="H6" s="118" t="n">
        <x:f>IF(B6="","",'Inputs'!$B$8*'Inputs'!$B$35/'Inputs'!$B$9)</x:f>
        <x:v>18125</x:v>
      </x:c>
      <x:c r="I6" s="118" t="n">
        <x:f>IF(B6="","",H6*E6)</x:f>
        <x:v>17918.503023232017</x:v>
      </x:c>
      <x:c r="J6" s="118" t="n">
        <x:f>IF(B6="","",'Inputs'!$B$8*'Inputs'!$B$36*F6)</x:f>
        <x:v>4557.174659707197</x:v>
      </x:c>
      <x:c r="K6" s="118" t="n">
        <x:f>IF(B6="","",IF(A6='Inputs'!$B$37,'Inputs'!$B$8*E6,0))</x:f>
        <x:v>0</x:v>
      </x:c>
      <x:c r="L6" s="118" t="n">
        <x:f>IF(B6="","",SUM(I6:K6))</x:f>
        <x:v>22475.677682939215</x:v>
      </x:c>
      <x:c r="M6" s="118" t="n">
        <x:f>IF(B6="","",L6*G6)</x:f>
        <x:v>22238.137772994436</x:v>
      </x:c>
      <x:c r="N6" s="118" t="n">
        <x:f>IF(B6="","",'Inputs'!$B$8*'Inputs'!$B$19/'Inputs'!$B$9*E6)</x:f>
        <x:v>10503.950048101527</x:v>
      </x:c>
      <x:c r="O6" s="118" t="n">
        <x:f>IF(B6="","",I6-N6)</x:f>
        <x:v>7414.552975130489</x:v>
      </x:c>
      <x:c r="P6" s="118" t="n">
        <x:f>IF(B6="","",IF('Inputs'!$B$6="REPACK",'Inputs'!$B$8*'Inputs'!$B$28/'Inputs'!$B$9*E6+'Inputs'!$B$8*'Inputs'!$B$17*F6+K6,0))</x:f>
        <x:v>0</x:v>
      </x:c>
      <x:c r="Q6" s="118" t="n">
        <x:f>IF(B6="","",IF('Inputs'!$B$6="REPACK",'Inputs'!$B$8*('Inputs'!$B$30+'Inputs'!$B$31)/'Inputs'!$B$9*E6,0))</x:f>
        <x:v>0</x:v>
      </x:c>
      <x:c r="R6" s="118" t="n">
        <x:f>IF(B6="","",IF('Inputs'!$B$6="CLN",-L6,P6-L6-Q6))</x:f>
        <x:v>-22475.677682939215</x:v>
      </x:c>
      <x:c r="S6" s="118" t="n">
        <x:f>IF(B6="","",R6*G6)</x:f>
        <x:v>-22238.137772994436</x:v>
      </x:c>
    </x:row>
    <x:row r="7">
      <x:c r="A7" s="111" t="n">
        <x:v>2</x:v>
      </x:c>
      <x:c r="B7" s="148" t="n">
        <x:f>IF(A7&lt;='Inputs'!$B$37,A7/'Inputs'!$B$9,"")</x:f>
        <x:v>0.5</x:v>
      </x:c>
      <x:c r="C7" s="148" t="n">
        <x:f>IF(B7="","",MAX(0,B7-1/'Inputs'!$B$9))</x:f>
        <x:v>0.25</x:v>
      </x:c>
      <x:c r="D7" s="148" t="n">
        <x:f>IF(B7="","",EXP(-'Inputs'!$B$34*C7))</x:f>
        <x:v>0.988607063350732</x:v>
      </x:c>
      <x:c r="E7" s="148" t="n">
        <x:f>IF(B7="","",EXP(-'Inputs'!$B$34*B7))</x:f>
        <x:v>0.9773439257069583</x:v>
      </x:c>
      <x:c r="F7" s="148" t="n">
        <x:f>IF(B7="","",D7-E7)</x:f>
        <x:v>0.011263137643773735</x:v>
      </x:c>
      <x:c r="G7" s="148" t="n">
        <x:f>IF(B7="","",EXP(-'Inputs'!$B$18*B7))</x:f>
        <x:v>0.97897419042636</x:v>
      </x:c>
      <x:c r="H7" s="118" t="n">
        <x:f>IF(B7="","",'Inputs'!$B$8*'Inputs'!$B$35/'Inputs'!$B$9)</x:f>
        <x:v>18125</x:v>
      </x:c>
      <x:c r="I7" s="118" t="n">
        <x:f>IF(B7="","",H7*E7)</x:f>
        <x:v>17714.35865343862</x:v>
      </x:c>
      <x:c r="J7" s="118" t="n">
        <x:f>IF(B7="","",'Inputs'!$B$8*'Inputs'!$B$36*F7)</x:f>
        <x:v>4505.255057509494</x:v>
      </x:c>
      <x:c r="K7" s="118" t="n">
        <x:f>IF(B7="","",IF(A7='Inputs'!$B$37,'Inputs'!$B$8*E7,0))</x:f>
        <x:v>0</x:v>
      </x:c>
      <x:c r="L7" s="118" t="n">
        <x:f>IF(B7="","",SUM(I7:K7))</x:f>
        <x:v>22219.613710948113</x:v>
      </x:c>
      <x:c r="M7" s="118" t="n">
        <x:f>IF(B7="","",L7*G7)</x:f>
        <x:v>21752.42834426188</x:v>
      </x:c>
      <x:c r="N7" s="118" t="n">
        <x:f>IF(B7="","",'Inputs'!$B$8*'Inputs'!$B$19/'Inputs'!$B$9*E7)</x:f>
        <x:v>10384.279210636432</x:v>
      </x:c>
      <x:c r="O7" s="118" t="n">
        <x:f>IF(B7="","",I7-N7)</x:f>
        <x:v>7330.079442802187</x:v>
      </x:c>
      <x:c r="P7" s="118" t="n">
        <x:f>IF(B7="","",IF('Inputs'!$B$6="REPACK",'Inputs'!$B$8*'Inputs'!$B$28/'Inputs'!$B$9*E7+'Inputs'!$B$8*'Inputs'!$B$17*F7+K7,0))</x:f>
        <x:v>0</x:v>
      </x:c>
      <x:c r="Q7" s="118" t="n">
        <x:f>IF(B7="","",IF('Inputs'!$B$6="REPACK",'Inputs'!$B$8*('Inputs'!$B$30+'Inputs'!$B$31)/'Inputs'!$B$9*E7,0))</x:f>
        <x:v>0</x:v>
      </x:c>
      <x:c r="R7" s="118" t="n">
        <x:f>IF(B7="","",IF('Inputs'!$B$6="CLN",-L7,P7-L7-Q7))</x:f>
        <x:v>-22219.613710948113</x:v>
      </x:c>
      <x:c r="S7" s="118" t="n">
        <x:f>IF(B7="","",R7*G7)</x:f>
        <x:v>-21752.42834426188</x:v>
      </x:c>
    </x:row>
    <x:row r="8">
      <x:c r="A8" s="111" t="n">
        <x:v>3</x:v>
      </x:c>
      <x:c r="B8" s="148" t="n">
        <x:f>IF(A8&lt;='Inputs'!$B$37,A8/'Inputs'!$B$9,"")</x:f>
        <x:v>0.75</x:v>
      </x:c>
      <x:c r="C8" s="148" t="n">
        <x:f>IF(B8="","",MAX(0,B8-1/'Inputs'!$B$9))</x:f>
        <x:v>0.5</x:v>
      </x:c>
      <x:c r="D8" s="148" t="n">
        <x:f>IF(B8="","",EXP(-'Inputs'!$B$34*C8))</x:f>
        <x:v>0.9773439257069583</x:v>
      </x:c>
      <x:c r="E8" s="148" t="n">
        <x:f>IF(B8="","",EXP(-'Inputs'!$B$34*B8))</x:f>
        <x:v>0.966209108276832</x:v>
      </x:c>
      <x:c r="F8" s="148" t="n">
        <x:f>IF(B8="","",D8-E8)</x:f>
        <x:v>0.011134817430126231</x:v>
      </x:c>
      <x:c r="G8" s="148" t="n">
        <x:f>IF(B8="","",EXP(-'Inputs'!$B$18*B8))</x:f>
        <x:v>0.9686276529687304</x:v>
      </x:c>
      <x:c r="H8" s="118" t="n">
        <x:f>IF(B8="","",'Inputs'!$B$8*'Inputs'!$B$35/'Inputs'!$B$9)</x:f>
        <x:v>18125</x:v>
      </x:c>
      <x:c r="I8" s="118" t="n">
        <x:f>IF(B8="","",H8*E8)</x:f>
        <x:v>17512.54008751758</x:v>
      </x:c>
      <x:c r="J8" s="118" t="n">
        <x:f>IF(B8="","",'Inputs'!$B$8*'Inputs'!$B$36*F8)</x:f>
        <x:v>4453.926972050493</x:v>
      </x:c>
      <x:c r="K8" s="118" t="n">
        <x:f>IF(B8="","",IF(A8='Inputs'!$B$37,'Inputs'!$B$8*E8,0))</x:f>
        <x:v>0</x:v>
      </x:c>
      <x:c r="L8" s="118" t="n">
        <x:f>IF(B8="","",SUM(I8:K8))</x:f>
        <x:v>21966.467059568073</x:v>
      </x:c>
      <x:c r="M8" s="118" t="n">
        <x:f>IF(B8="","",L8*G8)</x:f>
        <x:v>21277.32743192435</x:v>
      </x:c>
      <x:c r="N8" s="118" t="n">
        <x:f>IF(B8="","",'Inputs'!$B$8*'Inputs'!$B$19/'Inputs'!$B$9*E8)</x:f>
        <x:v>10265.97177544134</x:v>
      </x:c>
      <x:c r="O8" s="118" t="n">
        <x:f>IF(B8="","",I8-N8)</x:f>
        <x:v>7246.5683120762405</x:v>
      </x:c>
      <x:c r="P8" s="118" t="n">
        <x:f>IF(B8="","",IF('Inputs'!$B$6="REPACK",'Inputs'!$B$8*'Inputs'!$B$28/'Inputs'!$B$9*E8+'Inputs'!$B$8*'Inputs'!$B$17*F8+K8,0))</x:f>
        <x:v>0</x:v>
      </x:c>
      <x:c r="Q8" s="118" t="n">
        <x:f>IF(B8="","",IF('Inputs'!$B$6="REPACK",'Inputs'!$B$8*('Inputs'!$B$30+'Inputs'!$B$31)/'Inputs'!$B$9*E8,0))</x:f>
        <x:v>0</x:v>
      </x:c>
      <x:c r="R8" s="118" t="n">
        <x:f>IF(B8="","",IF('Inputs'!$B$6="CLN",-L8,P8-L8-Q8))</x:f>
        <x:v>-21966.467059568073</x:v>
      </x:c>
      <x:c r="S8" s="118" t="n">
        <x:f>IF(B8="","",R8*G8)</x:f>
        <x:v>-21277.32743192435</x:v>
      </x:c>
    </x:row>
    <x:row r="9">
      <x:c r="A9" s="111" t="n">
        <x:v>4</x:v>
      </x:c>
      <x:c r="B9" s="148" t="n">
        <x:f>IF(A9&lt;='Inputs'!$B$37,A9/'Inputs'!$B$9,"")</x:f>
        <x:v>1</x:v>
      </x:c>
      <x:c r="C9" s="148" t="n">
        <x:f>IF(B9="","",MAX(0,B9-1/'Inputs'!$B$9))</x:f>
        <x:v>0.75</x:v>
      </x:c>
      <x:c r="D9" s="148" t="n">
        <x:f>IF(B9="","",EXP(-'Inputs'!$B$34*C9))</x:f>
        <x:v>0.966209108276832</x:v>
      </x:c>
      <x:c r="E9" s="148" t="n">
        <x:f>IF(B9="","",EXP(-'Inputs'!$B$34*B9))</x:f>
        <x:v>0.9552011491162884</x:v>
      </x:c>
      <x:c r="F9" s="148" t="n">
        <x:f>IF(B9="","",D9-E9)</x:f>
        <x:v>0.011007959160543646</x:v>
      </x:c>
      <x:c r="G9" s="148" t="n">
        <x:f>IF(B9="","",EXP(-'Inputs'!$B$18*B9))</x:f>
        <x:v>0.958390465520947</x:v>
      </x:c>
      <x:c r="H9" s="118" t="n">
        <x:f>IF(B9="","",'Inputs'!$B$8*'Inputs'!$B$35/'Inputs'!$B$9)</x:f>
        <x:v>18125</x:v>
      </x:c>
      <x:c r="I9" s="118" t="n">
        <x:f>IF(B9="","",H9*E9)</x:f>
        <x:v>17313.020827732726</x:v>
      </x:c>
      <x:c r="J9" s="118" t="n">
        <x:f>IF(B9="","",'Inputs'!$B$8*'Inputs'!$B$36*F9)</x:f>
        <x:v>4403.1836642174585</x:v>
      </x:c>
      <x:c r="K9" s="118" t="n">
        <x:f>IF(B9="","",IF(A9='Inputs'!$B$37,'Inputs'!$B$8*E9,0))</x:f>
        <x:v>0</x:v>
      </x:c>
      <x:c r="L9" s="118" t="n">
        <x:f>IF(B9="","",SUM(I9:K9))</x:f>
        <x:v>21716.204491950186</x:v>
      </x:c>
      <x:c r="M9" s="118" t="n">
        <x:f>IF(B9="","",L9*G9)</x:f>
        <x:v>20812.60333238822</x:v>
      </x:c>
      <x:c r="N9" s="118" t="n">
        <x:f>IF(B9="","",'Inputs'!$B$8*'Inputs'!$B$19/'Inputs'!$B$9*E9)</x:f>
        <x:v>10149.012209360564</x:v>
      </x:c>
      <x:c r="O9" s="118" t="n">
        <x:f>IF(B9="","",I9-N9)</x:f>
        <x:v>7164.008618372161</x:v>
      </x:c>
      <x:c r="P9" s="118" t="n">
        <x:f>IF(B9="","",IF('Inputs'!$B$6="REPACK",'Inputs'!$B$8*'Inputs'!$B$28/'Inputs'!$B$9*E9+'Inputs'!$B$8*'Inputs'!$B$17*F9+K9,0))</x:f>
        <x:v>0</x:v>
      </x:c>
      <x:c r="Q9" s="118" t="n">
        <x:f>IF(B9="","",IF('Inputs'!$B$6="REPACK",'Inputs'!$B$8*('Inputs'!$B$30+'Inputs'!$B$31)/'Inputs'!$B$9*E9,0))</x:f>
        <x:v>0</x:v>
      </x:c>
      <x:c r="R9" s="118" t="n">
        <x:f>IF(B9="","",IF('Inputs'!$B$6="CLN",-L9,P9-L9-Q9))</x:f>
        <x:v>-21716.204491950186</x:v>
      </x:c>
      <x:c r="S9" s="118" t="n">
        <x:f>IF(B9="","",R9*G9)</x:f>
        <x:v>-20812.60333238822</x:v>
      </x:c>
    </x:row>
    <x:row r="10">
      <x:c r="A10" s="111" t="n">
        <x:v>5</x:v>
      </x:c>
      <x:c r="B10" s="148" t="n">
        <x:f>IF(A10&lt;='Inputs'!$B$37,A10/'Inputs'!$B$9,"")</x:f>
        <x:v>1.25</x:v>
      </x:c>
      <x:c r="C10" s="148" t="n">
        <x:f>IF(B10="","",MAX(0,B10-1/'Inputs'!$B$9))</x:f>
        <x:v>1</x:v>
      </x:c>
      <x:c r="D10" s="148" t="n">
        <x:f>IF(B10="","",EXP(-'Inputs'!$B$34*C10))</x:f>
        <x:v>0.9552011491162884</x:v>
      </x:c>
      <x:c r="E10" s="148" t="n">
        <x:f>IF(B10="","",EXP(-'Inputs'!$B$34*B10))</x:f>
        <x:v>0.9443186029370986</x:v>
      </x:c>
      <x:c r="F10" s="148" t="n">
        <x:f>IF(B10="","",D10-E10)</x:f>
        <x:v>0.010882546179189823</x:v>
      </x:c>
      <x:c r="G10" s="148" t="n">
        <x:f>IF(B10="","",EXP(-'Inputs'!$B$18*B10))</x:f>
        <x:v>0.9482614723896481</x:v>
      </x:c>
      <x:c r="H10" s="118" t="n">
        <x:f>IF(B10="","",'Inputs'!$B$8*'Inputs'!$B$35/'Inputs'!$B$9)</x:f>
        <x:v>18125</x:v>
      </x:c>
      <x:c r="I10" s="118" t="n">
        <x:f>IF(B10="","",H10*E10)</x:f>
        <x:v>17115.774678234913</x:v>
      </x:c>
      <x:c r="J10" s="118" t="n">
        <x:f>IF(B10="","",'Inputs'!$B$8*'Inputs'!$B$36*F10)</x:f>
        <x:v>4353.018471675929</x:v>
      </x:c>
      <x:c r="K10" s="118" t="n">
        <x:f>IF(B10="","",IF(A10='Inputs'!$B$37,'Inputs'!$B$8*E10,0))</x:f>
        <x:v>0</x:v>
      </x:c>
      <x:c r="L10" s="118" t="n">
        <x:f>IF(B10="","",SUM(I10:K10))</x:f>
        <x:v>21468.79314991084</x:v>
      </x:c>
      <x:c r="M10" s="118" t="n">
        <x:f>IF(B10="","",L10*G10)</x:f>
        <x:v>20358.029402763244</x:v>
      </x:c>
      <x:c r="N10" s="118" t="n">
        <x:f>IF(B10="","",'Inputs'!$B$8*'Inputs'!$B$19/'Inputs'!$B$9*E10)</x:f>
        <x:v>10033.385156206672</x:v>
      </x:c>
      <x:c r="O10" s="118" t="n">
        <x:f>IF(B10="","",I10-N10)</x:f>
        <x:v>7082.389522028241</x:v>
      </x:c>
      <x:c r="P10" s="118" t="n">
        <x:f>IF(B10="","",IF('Inputs'!$B$6="REPACK",'Inputs'!$B$8*'Inputs'!$B$28/'Inputs'!$B$9*E10+'Inputs'!$B$8*'Inputs'!$B$17*F10+K10,0))</x:f>
        <x:v>0</x:v>
      </x:c>
      <x:c r="Q10" s="118" t="n">
        <x:f>IF(B10="","",IF('Inputs'!$B$6="REPACK",'Inputs'!$B$8*('Inputs'!$B$30+'Inputs'!$B$31)/'Inputs'!$B$9*E10,0))</x:f>
        <x:v>0</x:v>
      </x:c>
      <x:c r="R10" s="118" t="n">
        <x:f>IF(B10="","",IF('Inputs'!$B$6="CLN",-L10,P10-L10-Q10))</x:f>
        <x:v>-21468.79314991084</x:v>
      </x:c>
      <x:c r="S10" s="118" t="n">
        <x:f>IF(B10="","",R10*G10)</x:f>
        <x:v>-20358.029402763244</x:v>
      </x:c>
    </x:row>
    <x:row r="11">
      <x:c r="A11" s="111" t="n">
        <x:v>6</x:v>
      </x:c>
      <x:c r="B11" s="148" t="n">
        <x:f>IF(A11&lt;='Inputs'!$B$37,A11/'Inputs'!$B$9,"")</x:f>
        <x:v>1.5</x:v>
      </x:c>
      <x:c r="C11" s="148" t="n">
        <x:f>IF(B11="","",MAX(0,B11-1/'Inputs'!$B$9))</x:f>
        <x:v>1.25</x:v>
      </x:c>
      <x:c r="D11" s="148" t="n">
        <x:f>IF(B11="","",EXP(-'Inputs'!$B$34*C11))</x:f>
        <x:v>0.9443186029370986</x:v>
      </x:c>
      <x:c r="E11" s="148" t="n">
        <x:f>IF(B11="","",EXP(-'Inputs'!$B$34*B11))</x:f>
        <x:v>0.933560040917111</x:v>
      </x:c>
      <x:c r="F11" s="148" t="n">
        <x:f>IF(B11="","",D11-E11)</x:f>
        <x:v>0.010758562019987594</x:v>
      </x:c>
      <x:c r="G11" s="148" t="n">
        <x:f>IF(B11="","",EXP(-'Inputs'!$B$18*B11))</x:f>
        <x:v>0.9382395300957113</x:v>
      </x:c>
      <x:c r="H11" s="118" t="n">
        <x:f>IF(B11="","",'Inputs'!$B$8*'Inputs'!$B$35/'Inputs'!$B$9)</x:f>
        <x:v>18125</x:v>
      </x:c>
      <x:c r="I11" s="118" t="n">
        <x:f>IF(B11="","",H11*E11)</x:f>
        <x:v>16920.775741622638</x:v>
      </x:c>
      <x:c r="J11" s="118" t="n">
        <x:f>IF(B11="","",'Inputs'!$B$8*'Inputs'!$B$36*F11)</x:f>
        <x:v>4303.424807995038</x:v>
      </x:c>
      <x:c r="K11" s="118" t="n">
        <x:f>IF(B11="","",IF(A11='Inputs'!$B$37,'Inputs'!$B$8*E11,0))</x:f>
        <x:v>0</x:v>
      </x:c>
      <x:c r="L11" s="118" t="n">
        <x:f>IF(B11="","",SUM(I11:K11))</x:f>
        <x:v>21224.200549617675</x:v>
      </x:c>
      <x:c r="M11" s="118" t="n">
        <x:f>IF(B11="","",L11*G11)</x:f>
        <x:v>19913.383950330423</x:v>
      </x:c>
      <x:c r="N11" s="118" t="n">
        <x:f>IF(B11="","",'Inputs'!$B$8*'Inputs'!$B$19/'Inputs'!$B$9*E11)</x:f>
        <x:v>9919.075434744303</x:v>
      </x:c>
      <x:c r="O11" s="118" t="n">
        <x:f>IF(B11="","",I11-N11)</x:f>
        <x:v>7001.700306878334</x:v>
      </x:c>
      <x:c r="P11" s="118" t="n">
        <x:f>IF(B11="","",IF('Inputs'!$B$6="REPACK",'Inputs'!$B$8*'Inputs'!$B$28/'Inputs'!$B$9*E11+'Inputs'!$B$8*'Inputs'!$B$17*F11+K11,0))</x:f>
        <x:v>0</x:v>
      </x:c>
      <x:c r="Q11" s="118" t="n">
        <x:f>IF(B11="","",IF('Inputs'!$B$6="REPACK",'Inputs'!$B$8*('Inputs'!$B$30+'Inputs'!$B$31)/'Inputs'!$B$9*E11,0))</x:f>
        <x:v>0</x:v>
      </x:c>
      <x:c r="R11" s="118" t="n">
        <x:f>IF(B11="","",IF('Inputs'!$B$6="CLN",-L11,P11-L11-Q11))</x:f>
        <x:v>-21224.200549617675</x:v>
      </x:c>
      <x:c r="S11" s="118" t="n">
        <x:f>IF(B11="","",R11*G11)</x:f>
        <x:v>-19913.383950330423</x:v>
      </x:c>
    </x:row>
    <x:row r="12">
      <x:c r="A12" s="111" t="n">
        <x:v>7</x:v>
      </x:c>
      <x:c r="B12" s="148" t="n">
        <x:f>IF(A12&lt;='Inputs'!$B$37,A12/'Inputs'!$B$9,"")</x:f>
        <x:v>1.75</x:v>
      </x:c>
      <x:c r="C12" s="148" t="n">
        <x:f>IF(B12="","",MAX(0,B12-1/'Inputs'!$B$9))</x:f>
        <x:v>1.5</x:v>
      </x:c>
      <x:c r="D12" s="148" t="n">
        <x:f>IF(B12="","",EXP(-'Inputs'!$B$34*C12))</x:f>
        <x:v>0.933560040917111</x:v>
      </x:c>
      <x:c r="E12" s="148" t="n">
        <x:f>IF(B12="","",EXP(-'Inputs'!$B$34*B12))</x:f>
        <x:v>0.9229240505126542</x:v>
      </x:c>
      <x:c r="F12" s="148" t="n">
        <x:f>IF(B12="","",D12-E12)</x:f>
        <x:v>0.01063599040445673</x:v>
      </x:c>
      <x:c r="G12" s="148" t="n">
        <x:f>IF(B12="","",EXP(-'Inputs'!$B$18*B12))</x:f>
        <x:v>0.9283235072451638</x:v>
      </x:c>
      <x:c r="H12" s="118" t="n">
        <x:f>IF(B12="","",'Inputs'!$B$8*'Inputs'!$B$35/'Inputs'!$B$9)</x:f>
        <x:v>18125</x:v>
      </x:c>
      <x:c r="I12" s="118" t="n">
        <x:f>IF(B12="","",H12*E12)</x:f>
        <x:v>16727.998415541857</x:v>
      </x:c>
      <x:c r="J12" s="118" t="n">
        <x:f>IF(B12="","",'Inputs'!$B$8*'Inputs'!$B$36*F12)</x:f>
        <x:v>4254.396161782692</x:v>
      </x:c>
      <x:c r="K12" s="118" t="n">
        <x:f>IF(B12="","",IF(A12='Inputs'!$B$37,'Inputs'!$B$8*E12,0))</x:f>
        <x:v>0</x:v>
      </x:c>
      <x:c r="L12" s="118" t="n">
        <x:f>IF(B12="","",SUM(I12:K12))</x:f>
        <x:v>20982.39457732455</x:v>
      </x:c>
      <x:c r="M12" s="118" t="n">
        <x:f>IF(B12="","",L12*G12)</x:f>
        <x:v>19478.45012442383</x:v>
      </x:c>
      <x:c r="N12" s="118" t="n">
        <x:f>IF(B12="","",'Inputs'!$B$8*'Inputs'!$B$19/'Inputs'!$B$9*E12)</x:f>
        <x:v>9806.068036696952</x:v>
      </x:c>
      <x:c r="O12" s="118" t="n">
        <x:f>IF(B12="","",I12-N12)</x:f>
        <x:v>6921.930378844905</x:v>
      </x:c>
      <x:c r="P12" s="118" t="n">
        <x:f>IF(B12="","",IF('Inputs'!$B$6="REPACK",'Inputs'!$B$8*'Inputs'!$B$28/'Inputs'!$B$9*E12+'Inputs'!$B$8*'Inputs'!$B$17*F12+K12,0))</x:f>
        <x:v>0</x:v>
      </x:c>
      <x:c r="Q12" s="118" t="n">
        <x:f>IF(B12="","",IF('Inputs'!$B$6="REPACK",'Inputs'!$B$8*('Inputs'!$B$30+'Inputs'!$B$31)/'Inputs'!$B$9*E12,0))</x:f>
        <x:v>0</x:v>
      </x:c>
      <x:c r="R12" s="118" t="n">
        <x:f>IF(B12="","",IF('Inputs'!$B$6="CLN",-L12,P12-L12-Q12))</x:f>
        <x:v>-20982.39457732455</x:v>
      </x:c>
      <x:c r="S12" s="118" t="n">
        <x:f>IF(B12="","",R12*G12)</x:f>
        <x:v>-19478.45012442383</x:v>
      </x:c>
    </x:row>
    <x:row r="13">
      <x:c r="A13" s="111" t="n">
        <x:v>8</x:v>
      </x:c>
      <x:c r="B13" s="148" t="n">
        <x:f>IF(A13&lt;='Inputs'!$B$37,A13/'Inputs'!$B$9,"")</x:f>
        <x:v>2</x:v>
      </x:c>
      <x:c r="C13" s="148" t="n">
        <x:f>IF(B13="","",MAX(0,B13-1/'Inputs'!$B$9))</x:f>
        <x:v>1.75</x:v>
      </x:c>
      <x:c r="D13" s="148" t="n">
        <x:f>IF(B13="","",EXP(-'Inputs'!$B$34*C13))</x:f>
        <x:v>0.9229240505126542</x:v>
      </x:c>
      <x:c r="E13" s="148" t="n">
        <x:f>IF(B13="","",EXP(-'Inputs'!$B$34*B13))</x:f>
        <x:v>0.9124092352730778</x:v>
      </x:c>
      <x:c r="F13" s="148" t="n">
        <x:f>IF(B13="","",D13-E13)</x:f>
        <x:v>0.010514815239576425</x:v>
      </x:c>
      <x:c r="G13" s="148" t="n">
        <x:f>IF(B13="","",EXP(-'Inputs'!$B$18*B13))</x:f>
        <x:v>0.9185122844014574</x:v>
      </x:c>
      <x:c r="H13" s="118" t="n">
        <x:f>IF(B13="","",'Inputs'!$B$8*'Inputs'!$B$35/'Inputs'!$B$9)</x:f>
        <x:v>18125</x:v>
      </x:c>
      <x:c r="I13" s="118" t="n">
        <x:f>IF(B13="","",H13*E13)</x:f>
        <x:v>16537.417389324535</x:v>
      </x:c>
      <x:c r="J13" s="118" t="n">
        <x:f>IF(B13="","",'Inputs'!$B$8*'Inputs'!$B$36*F13)</x:f>
        <x:v>4205.92609583057</x:v>
      </x:c>
      <x:c r="K13" s="118" t="n">
        <x:f>IF(B13="","",IF(A13='Inputs'!$B$37,'Inputs'!$B$8*E13,0))</x:f>
        <x:v>0</x:v>
      </x:c>
      <x:c r="L13" s="118" t="n">
        <x:f>IF(B13="","",SUM(I13:K13))</x:f>
        <x:v>20743.343485155106</x:v>
      </x:c>
      <x:c r="M13" s="118" t="n">
        <x:f>IF(B13="","",L13*G13)</x:f>
        <x:v>19053.015810673904</x:v>
      </x:c>
      <x:c r="N13" s="118" t="n">
        <x:f>IF(B13="","",'Inputs'!$B$8*'Inputs'!$B$19/'Inputs'!$B$9*E13)</x:f>
        <x:v>9694.348124776452</x:v>
      </x:c>
      <x:c r="O13" s="118" t="n">
        <x:f>IF(B13="","",I13-N13)</x:f>
        <x:v>6843.069264548083</x:v>
      </x:c>
      <x:c r="P13" s="118" t="n">
        <x:f>IF(B13="","",IF('Inputs'!$B$6="REPACK",'Inputs'!$B$8*'Inputs'!$B$28/'Inputs'!$B$9*E13+'Inputs'!$B$8*'Inputs'!$B$17*F13+K13,0))</x:f>
        <x:v>0</x:v>
      </x:c>
      <x:c r="Q13" s="118" t="n">
        <x:f>IF(B13="","",IF('Inputs'!$B$6="REPACK",'Inputs'!$B$8*('Inputs'!$B$30+'Inputs'!$B$31)/'Inputs'!$B$9*E13,0))</x:f>
        <x:v>0</x:v>
      </x:c>
      <x:c r="R13" s="118" t="n">
        <x:f>IF(B13="","",IF('Inputs'!$B$6="CLN",-L13,P13-L13-Q13))</x:f>
        <x:v>-20743.343485155106</x:v>
      </x:c>
      <x:c r="S13" s="118" t="n">
        <x:f>IF(B13="","",R13*G13)</x:f>
        <x:v>-19053.015810673904</x:v>
      </x:c>
    </x:row>
    <x:row r="14">
      <x:c r="A14" s="111" t="n">
        <x:v>9</x:v>
      </x:c>
      <x:c r="B14" s="148" t="n">
        <x:f>IF(A14&lt;='Inputs'!$B$37,A14/'Inputs'!$B$9,"")</x:f>
        <x:v>2.25</x:v>
      </x:c>
      <x:c r="C14" s="148" t="n">
        <x:f>IF(B14="","",MAX(0,B14-1/'Inputs'!$B$9))</x:f>
        <x:v>2</x:v>
      </x:c>
      <x:c r="D14" s="148" t="n">
        <x:f>IF(B14="","",EXP(-'Inputs'!$B$34*C14))</x:f>
        <x:v>0.9124092352730778</x:v>
      </x:c>
      <x:c r="E14" s="148" t="n">
        <x:f>IF(B14="","",EXP(-'Inputs'!$B$34*B14))</x:f>
        <x:v>0.9020142146574046</x:v>
      </x:c>
      <x:c r="F14" s="148" t="n">
        <x:f>IF(B14="","",D14-E14)</x:f>
        <x:v>0.010395020615673212</x:v>
      </x:c>
      <x:c r="G14" s="148" t="n">
        <x:f>IF(B14="","",EXP(-'Inputs'!$B$18*B14))</x:f>
        <x:v>0.9088047539590933</x:v>
      </x:c>
      <x:c r="H14" s="118" t="n">
        <x:f>IF(B14="","",'Inputs'!$B$8*'Inputs'!$B$35/'Inputs'!$B$9)</x:f>
        <x:v>18125</x:v>
      </x:c>
      <x:c r="I14" s="118" t="n">
        <x:f>IF(B14="","",H14*E14)</x:f>
        <x:v>16349.007640665459</x:v>
      </x:c>
      <x:c r="J14" s="118" t="n">
        <x:f>IF(B14="","",'Inputs'!$B$8*'Inputs'!$B$36*F14)</x:f>
        <x:v>4158.008246269284</x:v>
      </x:c>
      <x:c r="K14" s="118" t="n">
        <x:f>IF(B14="","",IF(A14='Inputs'!$B$37,'Inputs'!$B$8*E14,0))</x:f>
        <x:v>0</x:v>
      </x:c>
      <x:c r="L14" s="118" t="n">
        <x:f>IF(B14="","",SUM(I14:K14))</x:f>
        <x:v>20507.015886934743</x:v>
      </x:c>
      <x:c r="M14" s="118" t="n">
        <x:f>IF(B14="","",L14*G14)</x:f>
        <x:v>18636.873527560947</x:v>
      </x:c>
      <x:c r="N14" s="118" t="n">
        <x:f>IF(B14="","",'Inputs'!$B$8*'Inputs'!$B$19/'Inputs'!$B$9*E14)</x:f>
        <x:v>9583.901030734924</x:v>
      </x:c>
      <x:c r="O14" s="118" t="n">
        <x:f>IF(B14="","",I14-N14)</x:f>
        <x:v>6765.106609930535</x:v>
      </x:c>
      <x:c r="P14" s="118" t="n">
        <x:f>IF(B14="","",IF('Inputs'!$B$6="REPACK",'Inputs'!$B$8*'Inputs'!$B$28/'Inputs'!$B$9*E14+'Inputs'!$B$8*'Inputs'!$B$17*F14+K14,0))</x:f>
        <x:v>0</x:v>
      </x:c>
      <x:c r="Q14" s="118" t="n">
        <x:f>IF(B14="","",IF('Inputs'!$B$6="REPACK",'Inputs'!$B$8*('Inputs'!$B$30+'Inputs'!$B$31)/'Inputs'!$B$9*E14,0))</x:f>
        <x:v>0</x:v>
      </x:c>
      <x:c r="R14" s="118" t="n">
        <x:f>IF(B14="","",IF('Inputs'!$B$6="CLN",-L14,P14-L14-Q14))</x:f>
        <x:v>-20507.015886934743</x:v>
      </x:c>
      <x:c r="S14" s="118" t="n">
        <x:f>IF(B14="","",R14*G14)</x:f>
        <x:v>-18636.873527560947</x:v>
      </x:c>
    </x:row>
    <x:row r="15">
      <x:c r="A15" s="111" t="n">
        <x:v>10</x:v>
      </x:c>
      <x:c r="B15" s="148" t="n">
        <x:f>IF(A15&lt;='Inputs'!$B$37,A15/'Inputs'!$B$9,"")</x:f>
        <x:v>2.5</x:v>
      </x:c>
      <x:c r="C15" s="148" t="n">
        <x:f>IF(B15="","",MAX(0,B15-1/'Inputs'!$B$9))</x:f>
        <x:v>2.25</x:v>
      </x:c>
      <x:c r="D15" s="148" t="n">
        <x:f>IF(B15="","",EXP(-'Inputs'!$B$34*C15))</x:f>
        <x:v>0.9020142146574046</x:v>
      </x:c>
      <x:c r="E15" s="148" t="n">
        <x:f>IF(B15="","",EXP(-'Inputs'!$B$34*B15))</x:f>
        <x:v>0.8917376238530736</x:v>
      </x:c>
      <x:c r="F15" s="148" t="n">
        <x:f>IF(B15="","",D15-E15)</x:f>
        <x:v>0.010276590804330965</x:v>
      </x:c>
      <x:c r="G15" s="148" t="n">
        <x:f>IF(B15="","",EXP(-'Inputs'!$B$18*B15))</x:f>
        <x:v>0.8991998200185832</x:v>
      </x:c>
      <x:c r="H15" s="118" t="n">
        <x:f>IF(B15="","",'Inputs'!$B$8*'Inputs'!$B$35/'Inputs'!$B$9)</x:f>
        <x:v>18125</x:v>
      </x:c>
      <x:c r="I15" s="118" t="n">
        <x:f>IF(B15="","",H15*E15)</x:f>
        <x:v>16162.74443233696</x:v>
      </x:c>
      <x:c r="J15" s="118" t="n">
        <x:f>IF(B15="","",'Inputs'!$B$8*'Inputs'!$B$36*F15)</x:f>
        <x:v>4110.636321732386</x:v>
      </x:c>
      <x:c r="K15" s="118" t="n">
        <x:f>IF(B15="","",IF(A15='Inputs'!$B$37,'Inputs'!$B$8*E15,0))</x:f>
        <x:v>0</x:v>
      </x:c>
      <x:c r="L15" s="118" t="n">
        <x:f>IF(B15="","",SUM(I15:K15))</x:f>
        <x:v>20273.380754069345</x:v>
      </x:c>
      <x:c r="M15" s="118" t="n">
        <x:f>IF(B15="","",L15*G15)</x:f>
        <x:v>18229.820325227363</x:v>
      </x:c>
      <x:c r="N15" s="118" t="n">
        <x:f>IF(B15="","",'Inputs'!$B$8*'Inputs'!$B$19/'Inputs'!$B$9*E15)</x:f>
        <x:v>9474.712253438907</x:v>
      </x:c>
      <x:c r="O15" s="118" t="n">
        <x:f>IF(B15="","",I15-N15)</x:f>
        <x:v>6688.032178898053</x:v>
      </x:c>
      <x:c r="P15" s="118" t="n">
        <x:f>IF(B15="","",IF('Inputs'!$B$6="REPACK",'Inputs'!$B$8*'Inputs'!$B$28/'Inputs'!$B$9*E15+'Inputs'!$B$8*'Inputs'!$B$17*F15+K15,0))</x:f>
        <x:v>0</x:v>
      </x:c>
      <x:c r="Q15" s="118" t="n">
        <x:f>IF(B15="","",IF('Inputs'!$B$6="REPACK",'Inputs'!$B$8*('Inputs'!$B$30+'Inputs'!$B$31)/'Inputs'!$B$9*E15,0))</x:f>
        <x:v>0</x:v>
      </x:c>
      <x:c r="R15" s="118" t="n">
        <x:f>IF(B15="","",IF('Inputs'!$B$6="CLN",-L15,P15-L15-Q15))</x:f>
        <x:v>-20273.380754069345</x:v>
      </x:c>
      <x:c r="S15" s="118" t="n">
        <x:f>IF(B15="","",R15*G15)</x:f>
        <x:v>-18229.820325227363</x:v>
      </x:c>
    </x:row>
    <x:row r="16">
      <x:c r="A16" s="111" t="n">
        <x:v>11</x:v>
      </x:c>
      <x:c r="B16" s="148" t="n">
        <x:f>IF(A16&lt;='Inputs'!$B$37,A16/'Inputs'!$B$9,"")</x:f>
        <x:v>2.75</x:v>
      </x:c>
      <x:c r="C16" s="148" t="n">
        <x:f>IF(B16="","",MAX(0,B16-1/'Inputs'!$B$9))</x:f>
        <x:v>2.5</x:v>
      </x:c>
      <x:c r="D16" s="148" t="n">
        <x:f>IF(B16="","",EXP(-'Inputs'!$B$34*C16))</x:f>
        <x:v>0.8917376238530736</x:v>
      </x:c>
      <x:c r="E16" s="148" t="n">
        <x:f>IF(B16="","",EXP(-'Inputs'!$B$34*B16))</x:f>
        <x:v>0.8815781135967468</x:v>
      </x:c>
      <x:c r="F16" s="148" t="n">
        <x:f>IF(B16="","",D16-E16)</x:f>
        <x:v>0.010159510256326887</x:v>
      </x:c>
      <x:c r="G16" s="148" t="n">
        <x:f>IF(B16="","",EXP(-'Inputs'!$B$18*B16))</x:f>
        <x:v>0.8896963982627306</x:v>
      </x:c>
      <x:c r="H16" s="118" t="n">
        <x:f>IF(B16="","",'Inputs'!$B$8*'Inputs'!$B$35/'Inputs'!$B$9)</x:f>
        <x:v>18125</x:v>
      </x:c>
      <x:c r="I16" s="118" t="n">
        <x:f>IF(B16="","",H16*E16)</x:f>
        <x:v>15978.603308941036</x:v>
      </x:c>
      <x:c r="J16" s="118" t="n">
        <x:f>IF(B16="","",'Inputs'!$B$8*'Inputs'!$B$36*F16)</x:f>
        <x:v>4063.804102530755</x:v>
      </x:c>
      <x:c r="K16" s="118" t="n">
        <x:f>IF(B16="","",IF(A16='Inputs'!$B$37,'Inputs'!$B$8*E16,0))</x:f>
        <x:v>0</x:v>
      </x:c>
      <x:c r="L16" s="118" t="n">
        <x:f>IF(B16="","",SUM(I16:K16))</x:f>
        <x:v>20042.40741147179</x:v>
      </x:c>
      <x:c r="M16" s="118" t="n">
        <x:f>IF(B16="","",L16*G16)</x:f>
        <x:v>17831.657686500712</x:v>
      </x:c>
      <x:c r="N16" s="118" t="n">
        <x:f>IF(B16="","",'Inputs'!$B$8*'Inputs'!$B$19/'Inputs'!$B$9*E16)</x:f>
        <x:v>9366.767456965434</x:v>
      </x:c>
      <x:c r="O16" s="118" t="n">
        <x:f>IF(B16="","",I16-N16)</x:f>
        <x:v>6611.835851975602</x:v>
      </x:c>
      <x:c r="P16" s="118" t="n">
        <x:f>IF(B16="","",IF('Inputs'!$B$6="REPACK",'Inputs'!$B$8*'Inputs'!$B$28/'Inputs'!$B$9*E16+'Inputs'!$B$8*'Inputs'!$B$17*F16+K16,0))</x:f>
        <x:v>0</x:v>
      </x:c>
      <x:c r="Q16" s="118" t="n">
        <x:f>IF(B16="","",IF('Inputs'!$B$6="REPACK",'Inputs'!$B$8*('Inputs'!$B$30+'Inputs'!$B$31)/'Inputs'!$B$9*E16,0))</x:f>
        <x:v>0</x:v>
      </x:c>
      <x:c r="R16" s="118" t="n">
        <x:f>IF(B16="","",IF('Inputs'!$B$6="CLN",-L16,P16-L16-Q16))</x:f>
        <x:v>-20042.40741147179</x:v>
      </x:c>
      <x:c r="S16" s="118" t="n">
        <x:f>IF(B16="","",R16*G16)</x:f>
        <x:v>-17831.657686500712</x:v>
      </x:c>
    </x:row>
    <x:row r="17">
      <x:c r="A17" s="111" t="n">
        <x:v>12</x:v>
      </x:c>
      <x:c r="B17" s="148" t="n">
        <x:f>IF(A17&lt;='Inputs'!$B$37,A17/'Inputs'!$B$9,"")</x:f>
        <x:v>3</x:v>
      </x:c>
      <x:c r="C17" s="148" t="n">
        <x:f>IF(B17="","",MAX(0,B17-1/'Inputs'!$B$9))</x:f>
        <x:v>2.75</x:v>
      </x:c>
      <x:c r="D17" s="148" t="n">
        <x:f>IF(B17="","",EXP(-'Inputs'!$B$34*C17))</x:f>
        <x:v>0.8815781135967468</x:v>
      </x:c>
      <x:c r="E17" s="148" t="n">
        <x:f>IF(B17="","",EXP(-'Inputs'!$B$34*B17))</x:f>
        <x:v>0.8715343499971578</x:v>
      </x:c>
      <x:c r="F17" s="148" t="n">
        <x:f>IF(B17="","",D17-E17)</x:f>
        <x:v>0.010043763599588917</x:v>
      </x:c>
      <x:c r="G17" s="148" t="n">
        <x:f>IF(B17="","",EXP(-'Inputs'!$B$18*B17))</x:f>
        <x:v>0.880293415834221</x:v>
      </x:c>
      <x:c r="H17" s="118" t="n">
        <x:f>IF(B17="","",'Inputs'!$B$8*'Inputs'!$B$35/'Inputs'!$B$9)</x:f>
        <x:v>18125</x:v>
      </x:c>
      <x:c r="I17" s="118" t="n">
        <x:f>IF(B17="","",H17*E17)</x:f>
        <x:v>15796.560093698487</x:v>
      </x:c>
      <x:c r="J17" s="118" t="n">
        <x:f>IF(B17="","",'Inputs'!$B$8*'Inputs'!$B$36*F17)</x:f>
        <x:v>4017.505439835567</x:v>
      </x:c>
      <x:c r="K17" s="118" t="n">
        <x:f>IF(B17="","",IF(A17='Inputs'!$B$37,'Inputs'!$B$8*E17,0))</x:f>
        <x:v>0</x:v>
      </x:c>
      <x:c r="L17" s="118" t="n">
        <x:f>IF(B17="","",SUM(I17:K17))</x:f>
        <x:v>19814.065533534053</x:v>
      </x:c>
      <x:c r="M17" s="118" t="n">
        <x:f>IF(B17="","",L17*G17)</x:f>
        <x:v>17442.191430077797</x:v>
      </x:c>
      <x:c r="N17" s="118" t="n">
        <x:f>IF(B17="","",'Inputs'!$B$8*'Inputs'!$B$19/'Inputs'!$B$9*E17)</x:f>
        <x:v>9260.052468719801</x:v>
      </x:c>
      <x:c r="O17" s="118" t="n">
        <x:f>IF(B17="","",I17-N17)</x:f>
        <x:v>6536.507624978685</x:v>
      </x:c>
      <x:c r="P17" s="118" t="n">
        <x:f>IF(B17="","",IF('Inputs'!$B$6="REPACK",'Inputs'!$B$8*'Inputs'!$B$28/'Inputs'!$B$9*E17+'Inputs'!$B$8*'Inputs'!$B$17*F17+K17,0))</x:f>
        <x:v>0</x:v>
      </x:c>
      <x:c r="Q17" s="118" t="n">
        <x:f>IF(B17="","",IF('Inputs'!$B$6="REPACK",'Inputs'!$B$8*('Inputs'!$B$30+'Inputs'!$B$31)/'Inputs'!$B$9*E17,0))</x:f>
        <x:v>0</x:v>
      </x:c>
      <x:c r="R17" s="118" t="n">
        <x:f>IF(B17="","",IF('Inputs'!$B$6="CLN",-L17,P17-L17-Q17))</x:f>
        <x:v>-19814.065533534053</x:v>
      </x:c>
      <x:c r="S17" s="118" t="n">
        <x:f>IF(B17="","",R17*G17)</x:f>
        <x:v>-17442.191430077797</x:v>
      </x:c>
    </x:row>
    <x:row r="18">
      <x:c r="A18" s="111" t="n">
        <x:v>13</x:v>
      </x:c>
      <x:c r="B18" s="148" t="n">
        <x:f>IF(A18&lt;='Inputs'!$B$37,A18/'Inputs'!$B$9,"")</x:f>
        <x:v>3.25</x:v>
      </x:c>
      <x:c r="C18" s="148" t="n">
        <x:f>IF(B18="","",MAX(0,B18-1/'Inputs'!$B$9))</x:f>
        <x:v>3</x:v>
      </x:c>
      <x:c r="D18" s="148" t="n">
        <x:f>IF(B18="","",EXP(-'Inputs'!$B$34*C18))</x:f>
        <x:v>0.8715343499971578</x:v>
      </x:c>
      <x:c r="E18" s="148" t="n">
        <x:f>IF(B18="","",EXP(-'Inputs'!$B$34*B18))</x:f>
        <x:v>0.8616050143599793</x:v>
      </x:c>
      <x:c r="F18" s="148" t="n">
        <x:f>IF(B18="","",D18-E18)</x:f>
        <x:v>0.009929335637178571</x:v>
      </x:c>
      <x:c r="G18" s="148" t="n">
        <x:f>IF(B18="","",EXP(-'Inputs'!$B$18*B18))</x:f>
        <x:v>0.8709898112145051</x:v>
      </x:c>
      <x:c r="H18" s="118" t="n">
        <x:f>IF(B18="","",'Inputs'!$B$8*'Inputs'!$B$35/'Inputs'!$B$9)</x:f>
        <x:v>18125</x:v>
      </x:c>
      <x:c r="I18" s="118" t="n">
        <x:f>IF(B18="","",H18*E18)</x:f>
        <x:v>15616.590885274625</x:v>
      </x:c>
      <x:c r="J18" s="118" t="n">
        <x:f>IF(B18="","",'Inputs'!$B$8*'Inputs'!$B$36*F18)</x:f>
        <x:v>3971.7342548714287</x:v>
      </x:c>
      <x:c r="K18" s="118" t="n">
        <x:f>IF(B18="","",IF(A18='Inputs'!$B$37,'Inputs'!$B$8*E18,0))</x:f>
        <x:v>0</x:v>
      </x:c>
      <x:c r="L18" s="118" t="n">
        <x:f>IF(B18="","",SUM(I18:K18))</x:f>
        <x:v>19588.325140146055</x:v>
      </x:c>
      <x:c r="M18" s="118" t="n">
        <x:f>IF(B18="","",L18*G18)</x:f>
        <x:v>17061.231615824156</x:v>
      </x:c>
      <x:c r="N18" s="118" t="n">
        <x:f>IF(B18="","",'Inputs'!$B$8*'Inputs'!$B$19/'Inputs'!$B$9*E18)</x:f>
        <x:v>9154.55327757478</x:v>
      </x:c>
      <x:c r="O18" s="118" t="n">
        <x:f>IF(B18="","",I18-N18)</x:f>
        <x:v>6462.0376076998455</x:v>
      </x:c>
      <x:c r="P18" s="118" t="n">
        <x:f>IF(B18="","",IF('Inputs'!$B$6="REPACK",'Inputs'!$B$8*'Inputs'!$B$28/'Inputs'!$B$9*E18+'Inputs'!$B$8*'Inputs'!$B$17*F18+K18,0))</x:f>
        <x:v>0</x:v>
      </x:c>
      <x:c r="Q18" s="118" t="n">
        <x:f>IF(B18="","",IF('Inputs'!$B$6="REPACK",'Inputs'!$B$8*('Inputs'!$B$30+'Inputs'!$B$31)/'Inputs'!$B$9*E18,0))</x:f>
        <x:v>0</x:v>
      </x:c>
      <x:c r="R18" s="118" t="n">
        <x:f>IF(B18="","",IF('Inputs'!$B$6="CLN",-L18,P18-L18-Q18))</x:f>
        <x:v>-19588.325140146055</x:v>
      </x:c>
      <x:c r="S18" s="118" t="n">
        <x:f>IF(B18="","",R18*G18)</x:f>
        <x:v>-17061.231615824156</x:v>
      </x:c>
    </x:row>
    <x:row r="19">
      <x:c r="A19" s="111" t="n">
        <x:v>14</x:v>
      </x:c>
      <x:c r="B19" s="148" t="n">
        <x:f>IF(A19&lt;='Inputs'!$B$37,A19/'Inputs'!$B$9,"")</x:f>
        <x:v>3.5</x:v>
      </x:c>
      <x:c r="C19" s="148" t="n">
        <x:f>IF(B19="","",MAX(0,B19-1/'Inputs'!$B$9))</x:f>
        <x:v>3.25</x:v>
      </x:c>
      <x:c r="D19" s="148" t="n">
        <x:f>IF(B19="","",EXP(-'Inputs'!$B$34*C19))</x:f>
        <x:v>0.8616050143599793</x:v>
      </x:c>
      <x:c r="E19" s="148" t="n">
        <x:f>IF(B19="","",EXP(-'Inputs'!$B$34*B19))</x:f>
        <x:v>0.8517888030146844</x:v>
      </x:c>
      <x:c r="F19" s="148" t="n">
        <x:f>IF(B19="","",D19-E19)</x:f>
        <x:v>0.009816211345294867</x:v>
      </x:c>
      <x:c r="G19" s="148" t="n">
        <x:f>IF(B19="","",EXP(-'Inputs'!$B$18*B19))</x:f>
        <x:v>0.8617845341039616</x:v>
      </x:c>
      <x:c r="H19" s="118" t="n">
        <x:f>IF(B19="","",'Inputs'!$B$8*'Inputs'!$B$35/'Inputs'!$B$9)</x:f>
        <x:v>18125</x:v>
      </x:c>
      <x:c r="I19" s="118" t="n">
        <x:f>IF(B19="","",H19*E19)</x:f>
        <x:v>15438.672054641154</x:v>
      </x:c>
      <x:c r="J19" s="118" t="n">
        <x:f>IF(B19="","",'Inputs'!$B$8*'Inputs'!$B$36*F19)</x:f>
        <x:v>3926.484538117947</x:v>
      </x:c>
      <x:c r="K19" s="118" t="n">
        <x:f>IF(B19="","",IF(A19='Inputs'!$B$37,'Inputs'!$B$8*E19,0))</x:f>
        <x:v>0</x:v>
      </x:c>
      <x:c r="L19" s="118" t="n">
        <x:f>IF(B19="","",SUM(I19:K19))</x:f>
        <x:v>19365.1565927591</x:v>
      </x:c>
      <x:c r="M19" s="118" t="n">
        <x:f>IF(B19="","",L19*G19)</x:f>
        <x:v>16688.59245214116</x:v>
      </x:c>
      <x:c r="N19" s="118" t="n">
        <x:f>IF(B19="","",'Inputs'!$B$8*'Inputs'!$B$19/'Inputs'!$B$9*E19)</x:f>
        <x:v>9050.256032031022</x:v>
      </x:c>
      <x:c r="O19" s="118" t="n">
        <x:f>IF(B19="","",I19-N19)</x:f>
        <x:v>6388.416022610132</x:v>
      </x:c>
      <x:c r="P19" s="118" t="n">
        <x:f>IF(B19="","",IF('Inputs'!$B$6="REPACK",'Inputs'!$B$8*'Inputs'!$B$28/'Inputs'!$B$9*E19+'Inputs'!$B$8*'Inputs'!$B$17*F19+K19,0))</x:f>
        <x:v>0</x:v>
      </x:c>
      <x:c r="Q19" s="118" t="n">
        <x:f>IF(B19="","",IF('Inputs'!$B$6="REPACK",'Inputs'!$B$8*('Inputs'!$B$30+'Inputs'!$B$31)/'Inputs'!$B$9*E19,0))</x:f>
        <x:v>0</x:v>
      </x:c>
      <x:c r="R19" s="118" t="n">
        <x:f>IF(B19="","",IF('Inputs'!$B$6="CLN",-L19,P19-L19-Q19))</x:f>
        <x:v>-19365.1565927591</x:v>
      </x:c>
      <x:c r="S19" s="118" t="n">
        <x:f>IF(B19="","",R19*G19)</x:f>
        <x:v>-16688.59245214116</x:v>
      </x:c>
    </x:row>
    <x:row r="20">
      <x:c r="A20" s="111" t="n">
        <x:v>15</x:v>
      </x:c>
      <x:c r="B20" s="148" t="n">
        <x:f>IF(A20&lt;='Inputs'!$B$37,A20/'Inputs'!$B$9,"")</x:f>
        <x:v>3.75</x:v>
      </x:c>
      <x:c r="C20" s="148" t="n">
        <x:f>IF(B20="","",MAX(0,B20-1/'Inputs'!$B$9))</x:f>
        <x:v>3.5</x:v>
      </x:c>
      <x:c r="D20" s="148" t="n">
        <x:f>IF(B20="","",EXP(-'Inputs'!$B$34*C20))</x:f>
        <x:v>0.8517888030146844</x:v>
      </x:c>
      <x:c r="E20" s="148" t="n">
        <x:f>IF(B20="","",EXP(-'Inputs'!$B$34*B20))</x:f>
        <x:v>0.8420844271433824</x:v>
      </x:c>
      <x:c r="F20" s="148" t="n">
        <x:f>IF(B20="","",D20-E20)</x:f>
        <x:v>0.009704375871302018</x:v>
      </x:c>
      <x:c r="G20" s="148" t="n">
        <x:f>IF(B20="","",EXP(-'Inputs'!$B$18*B20))</x:f>
        <x:v>0.8526765453033283</x:v>
      </x:c>
      <x:c r="H20" s="118" t="n">
        <x:f>IF(B20="","",'Inputs'!$B$8*'Inputs'!$B$35/'Inputs'!$B$9)</x:f>
        <x:v>18125</x:v>
      </x:c>
      <x:c r="I20" s="118" t="n">
        <x:f>IF(B20="","",H20*E20)</x:f>
        <x:v>15262.780241973805</x:v>
      </x:c>
      <x:c r="J20" s="118" t="n">
        <x:f>IF(B20="","",'Inputs'!$B$8*'Inputs'!$B$36*F20)</x:f>
        <x:v>3881.750348520807</x:v>
      </x:c>
      <x:c r="K20" s="118" t="n">
        <x:f>IF(B20="","",IF(A20='Inputs'!$B$37,'Inputs'!$B$8*E20,0))</x:f>
        <x:v>0</x:v>
      </x:c>
      <x:c r="L20" s="118" t="n">
        <x:f>IF(B20="","",SUM(I20:K20))</x:f>
        <x:v>19144.530590494614</x:v>
      </x:c>
      <x:c r="M20" s="118" t="n">
        <x:f>IF(B20="","",L20*G20)</x:f>
        <x:v>16324.092205356836</x:v>
      </x:c>
      <x:c r="N20" s="118" t="n">
        <x:f>IF(B20="","",'Inputs'!$B$8*'Inputs'!$B$19/'Inputs'!$B$9*E20)</x:f>
        <x:v>8947.147038398438</x:v>
      </x:c>
      <x:c r="O20" s="118" t="n">
        <x:f>IF(B20="","",I20-N20)</x:f>
        <x:v>6315.633203575368</x:v>
      </x:c>
      <x:c r="P20" s="118" t="n">
        <x:f>IF(B20="","",IF('Inputs'!$B$6="REPACK",'Inputs'!$B$8*'Inputs'!$B$28/'Inputs'!$B$9*E20+'Inputs'!$B$8*'Inputs'!$B$17*F20+K20,0))</x:f>
        <x:v>0</x:v>
      </x:c>
      <x:c r="Q20" s="118" t="n">
        <x:f>IF(B20="","",IF('Inputs'!$B$6="REPACK",'Inputs'!$B$8*('Inputs'!$B$30+'Inputs'!$B$31)/'Inputs'!$B$9*E20,0))</x:f>
        <x:v>0</x:v>
      </x:c>
      <x:c r="R20" s="118" t="n">
        <x:f>IF(B20="","",IF('Inputs'!$B$6="CLN",-L20,P20-L20-Q20))</x:f>
        <x:v>-19144.530590494614</x:v>
      </x:c>
      <x:c r="S20" s="118" t="n">
        <x:f>IF(B20="","",R20*G20)</x:f>
        <x:v>-16324.092205356836</x:v>
      </x:c>
    </x:row>
    <x:row r="21">
      <x:c r="A21" s="111" t="n">
        <x:v>16</x:v>
      </x:c>
      <x:c r="B21" s="148" t="n">
        <x:f>IF(A21&lt;='Inputs'!$B$37,A21/'Inputs'!$B$9,"")</x:f>
        <x:v>4</x:v>
      </x:c>
      <x:c r="C21" s="148" t="n">
        <x:f>IF(B21="","",MAX(0,B21-1/'Inputs'!$B$9))</x:f>
        <x:v>3.75</x:v>
      </x:c>
      <x:c r="D21" s="148" t="n">
        <x:f>IF(B21="","",EXP(-'Inputs'!$B$34*C21))</x:f>
        <x:v>0.8420844271433824</x:v>
      </x:c>
      <x:c r="E21" s="148" t="n">
        <x:f>IF(B21="","",EXP(-'Inputs'!$B$34*B21))</x:f>
        <x:v>0.8324906126116027</x:v>
      </x:c>
      <x:c r="F21" s="148" t="n">
        <x:f>IF(B21="","",D21-E21)</x:f>
        <x:v>0.009593814531779654</x:v>
      </x:c>
      <x:c r="G21" s="148" t="n">
        <x:f>IF(B21="","",EXP(-'Inputs'!$B$18*B21))</x:f>
        <x:v>0.8436648165963837</x:v>
      </x:c>
      <x:c r="H21" s="118" t="n">
        <x:f>IF(B21="","",'Inputs'!$B$8*'Inputs'!$B$35/'Inputs'!$B$9)</x:f>
        <x:v>18125</x:v>
      </x:c>
      <x:c r="I21" s="118" t="n">
        <x:f>IF(B21="","",H21*E21)</x:f>
        <x:v>15088.8923535853</x:v>
      </x:c>
      <x:c r="J21" s="118" t="n">
        <x:f>IF(B21="","",'Inputs'!$B$8*'Inputs'!$B$36*F21)</x:f>
        <x:v>3837.525812711862</x:v>
      </x:c>
      <x:c r="K21" s="118" t="n">
        <x:f>IF(B21="","",IF(A21='Inputs'!$B$37,'Inputs'!$B$8*E21,0))</x:f>
        <x:v>0</x:v>
      </x:c>
      <x:c r="L21" s="118" t="n">
        <x:f>IF(B21="","",SUM(I21:K21))</x:f>
        <x:v>18926.41816629716</x:v>
      </x:c>
      <x:c r="M21" s="118" t="n">
        <x:f>IF(B21="","",L21*G21)</x:f>
        <x:v>15967.553111095558</x:v>
      </x:c>
      <x:c r="N21" s="118" t="n">
        <x:f>IF(B21="","",'Inputs'!$B$8*'Inputs'!$B$19/'Inputs'!$B$9*E21)</x:f>
        <x:v>8845.21275899828</x:v>
      </x:c>
      <x:c r="O21" s="118" t="n">
        <x:f>IF(B21="","",I21-N21)</x:f>
        <x:v>6243.67959458702</x:v>
      </x:c>
      <x:c r="P21" s="118" t="n">
        <x:f>IF(B21="","",IF('Inputs'!$B$6="REPACK",'Inputs'!$B$8*'Inputs'!$B$28/'Inputs'!$B$9*E21+'Inputs'!$B$8*'Inputs'!$B$17*F21+K21,0))</x:f>
        <x:v>0</x:v>
      </x:c>
      <x:c r="Q21" s="118" t="n">
        <x:f>IF(B21="","",IF('Inputs'!$B$6="REPACK",'Inputs'!$B$8*('Inputs'!$B$30+'Inputs'!$B$31)/'Inputs'!$B$9*E21,0))</x:f>
        <x:v>0</x:v>
      </x:c>
      <x:c r="R21" s="118" t="n">
        <x:f>IF(B21="","",IF('Inputs'!$B$6="CLN",-L21,P21-L21-Q21))</x:f>
        <x:v>-18926.41816629716</x:v>
      </x:c>
      <x:c r="S21" s="118" t="n">
        <x:f>IF(B21="","",R21*G21)</x:f>
        <x:v>-15967.553111095558</x:v>
      </x:c>
    </x:row>
    <x:row r="22">
      <x:c r="A22" s="111" t="n">
        <x:v>17</x:v>
      </x:c>
      <x:c r="B22" s="148" t="n">
        <x:f>IF(A22&lt;='Inputs'!$B$37,A22/'Inputs'!$B$9,"")</x:f>
        <x:v>4.25</x:v>
      </x:c>
      <x:c r="C22" s="148" t="n">
        <x:f>IF(B22="","",MAX(0,B22-1/'Inputs'!$B$9))</x:f>
        <x:v>4</x:v>
      </x:c>
      <x:c r="D22" s="148" t="n">
        <x:f>IF(B22="","",EXP(-'Inputs'!$B$34*C22))</x:f>
        <x:v>0.8324906126116027</x:v>
      </x:c>
      <x:c r="E22" s="148" t="n">
        <x:f>IF(B22="","",EXP(-'Inputs'!$B$34*B22))</x:f>
        <x:v>0.8230060998010084</x:v>
      </x:c>
      <x:c r="F22" s="148" t="n">
        <x:f>IF(B22="","",D22-E22)</x:f>
        <x:v>0.00948451281059437</x:v>
      </x:c>
      <x:c r="G22" s="148" t="n">
        <x:f>IF(B22="","",EXP(-'Inputs'!$B$18*B22))</x:f>
        <x:v>0.8347483306338712</x:v>
      </x:c>
      <x:c r="H22" s="118" t="n">
        <x:f>IF(B22="","",'Inputs'!$B$8*'Inputs'!$B$35/'Inputs'!$B$9)</x:f>
        <x:v>18125</x:v>
      </x:c>
      <x:c r="I22" s="118" t="n">
        <x:f>IF(B22="","",H22*E22)</x:f>
        <x:v>14916.985558893277</x:v>
      </x:c>
      <x:c r="J22" s="118" t="n">
        <x:f>IF(B22="","",'Inputs'!$B$8*'Inputs'!$B$36*F22)</x:f>
        <x:v>3793.805124237748</x:v>
      </x:c>
      <x:c r="K22" s="118" t="n">
        <x:f>IF(B22="","",IF(A22='Inputs'!$B$37,'Inputs'!$B$8*E22,0))</x:f>
        <x:v>0</x:v>
      </x:c>
      <x:c r="L22" s="118" t="n">
        <x:f>IF(B22="","",SUM(I22:K22))</x:f>
        <x:v>18710.790683131025</x:v>
      </x:c>
      <x:c r="M22" s="118" t="n">
        <x:f>IF(B22="","",L22*G22)</x:f>
        <x:v>15618.801287583414</x:v>
      </x:c>
      <x:c r="N22" s="118" t="n">
        <x:f>IF(B22="","",'Inputs'!$B$8*'Inputs'!$B$19/'Inputs'!$B$9*E22)</x:f>
        <x:v>8744.439810385715</x:v>
      </x:c>
      <x:c r="O22" s="118" t="n">
        <x:f>IF(B22="","",I22-N22)</x:f>
        <x:v>6172.545748507562</x:v>
      </x:c>
      <x:c r="P22" s="118" t="n">
        <x:f>IF(B22="","",IF('Inputs'!$B$6="REPACK",'Inputs'!$B$8*'Inputs'!$B$28/'Inputs'!$B$9*E22+'Inputs'!$B$8*'Inputs'!$B$17*F22+K22,0))</x:f>
        <x:v>0</x:v>
      </x:c>
      <x:c r="Q22" s="118" t="n">
        <x:f>IF(B22="","",IF('Inputs'!$B$6="REPACK",'Inputs'!$B$8*('Inputs'!$B$30+'Inputs'!$B$31)/'Inputs'!$B$9*E22,0))</x:f>
        <x:v>0</x:v>
      </x:c>
      <x:c r="R22" s="118" t="n">
        <x:f>IF(B22="","",IF('Inputs'!$B$6="CLN",-L22,P22-L22-Q22))</x:f>
        <x:v>-18710.790683131025</x:v>
      </x:c>
      <x:c r="S22" s="118" t="n">
        <x:f>IF(B22="","",R22*G22)</x:f>
        <x:v>-15618.801287583414</x:v>
      </x:c>
    </x:row>
    <x:row r="23">
      <x:c r="A23" s="111" t="n">
        <x:v>18</x:v>
      </x:c>
      <x:c r="B23" s="148" t="n">
        <x:f>IF(A23&lt;='Inputs'!$B$37,A23/'Inputs'!$B$9,"")</x:f>
        <x:v>4.5</x:v>
      </x:c>
      <x:c r="C23" s="148" t="n">
        <x:f>IF(B23="","",MAX(0,B23-1/'Inputs'!$B$9))</x:f>
        <x:v>4.25</x:v>
      </x:c>
      <x:c r="D23" s="148" t="n">
        <x:f>IF(B23="","",EXP(-'Inputs'!$B$34*C23))</x:f>
        <x:v>0.8230060998010084</x:v>
      </x:c>
      <x:c r="E23" s="148" t="n">
        <x:f>IF(B23="","",EXP(-'Inputs'!$B$34*B23))</x:f>
        <x:v>0.8136296434440144</x:v>
      </x:c>
      <x:c r="F23" s="148" t="n">
        <x:f>IF(B23="","",D23-E23)</x:f>
        <x:v>0.009376456356993912</x:v>
      </x:c>
      <x:c r="G23" s="148" t="n">
        <x:f>IF(B23="","",EXP(-'Inputs'!$B$18*B23))</x:f>
        <x:v>0.8259260808186482</x:v>
      </x:c>
      <x:c r="H23" s="118" t="n">
        <x:f>IF(B23="","",'Inputs'!$B$8*'Inputs'!$B$35/'Inputs'!$B$9)</x:f>
        <x:v>18125</x:v>
      </x:c>
      <x:c r="I23" s="118" t="n">
        <x:f>IF(B23="","",H23*E23)</x:f>
        <x:v>14747.037287422761</x:v>
      </x:c>
      <x:c r="J23" s="118" t="n">
        <x:f>IF(B23="","",'Inputs'!$B$8*'Inputs'!$B$36*F23)</x:f>
        <x:v>3750.5825427975647</x:v>
      </x:c>
      <x:c r="K23" s="118" t="n">
        <x:f>IF(B23="","",IF(A23='Inputs'!$B$37,'Inputs'!$B$8*E23,0))</x:f>
        <x:v>0</x:v>
      </x:c>
      <x:c r="L23" s="118" t="n">
        <x:f>IF(B23="","",SUM(I23:K23))</x:f>
        <x:v>18497.619830220327</x:v>
      </x:c>
      <x:c r="M23" s="118" t="n">
        <x:f>IF(B23="","",L23*G23)</x:f>
        <x:v>15277.666650847183</x:v>
      </x:c>
      <x:c r="N23" s="118" t="n">
        <x:f>IF(B23="","",'Inputs'!$B$8*'Inputs'!$B$19/'Inputs'!$B$9*E23)</x:f>
        <x:v>8644.814961592654</x:v>
      </x:c>
      <x:c r="O23" s="118" t="n">
        <x:f>IF(B23="","",I23-N23)</x:f>
        <x:v>6102.222325830107</x:v>
      </x:c>
      <x:c r="P23" s="118" t="n">
        <x:f>IF(B23="","",IF('Inputs'!$B$6="REPACK",'Inputs'!$B$8*'Inputs'!$B$28/'Inputs'!$B$9*E23+'Inputs'!$B$8*'Inputs'!$B$17*F23+K23,0))</x:f>
        <x:v>0</x:v>
      </x:c>
      <x:c r="Q23" s="118" t="n">
        <x:f>IF(B23="","",IF('Inputs'!$B$6="REPACK",'Inputs'!$B$8*('Inputs'!$B$30+'Inputs'!$B$31)/'Inputs'!$B$9*E23,0))</x:f>
        <x:v>0</x:v>
      </x:c>
      <x:c r="R23" s="118" t="n">
        <x:f>IF(B23="","",IF('Inputs'!$B$6="CLN",-L23,P23-L23-Q23))</x:f>
        <x:v>-18497.619830220327</x:v>
      </x:c>
      <x:c r="S23" s="118" t="n">
        <x:f>IF(B23="","",R23*G23)</x:f>
        <x:v>-15277.666650847183</x:v>
      </x:c>
    </x:row>
    <x:row r="24">
      <x:c r="A24" s="111" t="n">
        <x:v>19</x:v>
      </x:c>
      <x:c r="B24" s="148" t="n">
        <x:f>IF(A24&lt;='Inputs'!$B$37,A24/'Inputs'!$B$9,"")</x:f>
        <x:v>4.75</x:v>
      </x:c>
      <x:c r="C24" s="148" t="n">
        <x:f>IF(B24="","",MAX(0,B24-1/'Inputs'!$B$9))</x:f>
        <x:v>4.5</x:v>
      </x:c>
      <x:c r="D24" s="148" t="n">
        <x:f>IF(B24="","",EXP(-'Inputs'!$B$34*C24))</x:f>
        <x:v>0.8136296434440144</x:v>
      </x:c>
      <x:c r="E24" s="148" t="n">
        <x:f>IF(B24="","",EXP(-'Inputs'!$B$34*B24))</x:f>
        <x:v>0.8043600124602903</x:v>
      </x:c>
      <x:c r="F24" s="148" t="n">
        <x:f>IF(B24="","",D24-E24)</x:f>
        <x:v>0.00926963098372413</x:v>
      </x:c>
      <x:c r="G24" s="148" t="n">
        <x:f>IF(B24="","",EXP(-'Inputs'!$B$18*B24))</x:f>
        <x:v>0.8171970711920495</x:v>
      </x:c>
      <x:c r="H24" s="118" t="n">
        <x:f>IF(B24="","",'Inputs'!$B$8*'Inputs'!$B$35/'Inputs'!$B$9)</x:f>
        <x:v>18125</x:v>
      </x:c>
      <x:c r="I24" s="118" t="n">
        <x:f>IF(B24="","",H24*E24)</x:f>
        <x:v>14579.025225842763</x:v>
      </x:c>
      <x:c r="J24" s="118" t="n">
        <x:f>IF(B24="","",'Inputs'!$B$8*'Inputs'!$B$36*F24)</x:f>
        <x:v>3707.8523934896525</x:v>
      </x:c>
      <x:c r="K24" s="118" t="n">
        <x:f>IF(B24="","",IF(A24='Inputs'!$B$37,'Inputs'!$B$8*E24,0))</x:f>
        <x:v>0</x:v>
      </x:c>
      <x:c r="L24" s="118" t="n">
        <x:f>IF(B24="","",SUM(I24:K24))</x:f>
        <x:v>18286.877619332416</x:v>
      </x:c>
      <x:c r="M24" s="118" t="n">
        <x:f>IF(B24="","",L24*G24)</x:f>
        <x:v>14943.98283176589</x:v>
      </x:c>
      <x:c r="N24" s="118" t="n">
        <x:f>IF(B24="","",'Inputs'!$B$8*'Inputs'!$B$19/'Inputs'!$B$9*E24)</x:f>
        <x:v>8546.325132390584</x:v>
      </x:c>
      <x:c r="O24" s="118" t="n">
        <x:f>IF(B24="","",I24-N24)</x:f>
        <x:v>6032.700093452178</x:v>
      </x:c>
      <x:c r="P24" s="118" t="n">
        <x:f>IF(B24="","",IF('Inputs'!$B$6="REPACK",'Inputs'!$B$8*'Inputs'!$B$28/'Inputs'!$B$9*E24+'Inputs'!$B$8*'Inputs'!$B$17*F24+K24,0))</x:f>
        <x:v>0</x:v>
      </x:c>
      <x:c r="Q24" s="118" t="n">
        <x:f>IF(B24="","",IF('Inputs'!$B$6="REPACK",'Inputs'!$B$8*('Inputs'!$B$30+'Inputs'!$B$31)/'Inputs'!$B$9*E24,0))</x:f>
        <x:v>0</x:v>
      </x:c>
      <x:c r="R24" s="118" t="n">
        <x:f>IF(B24="","",IF('Inputs'!$B$6="CLN",-L24,P24-L24-Q24))</x:f>
        <x:v>-18286.877619332416</x:v>
      </x:c>
      <x:c r="S24" s="118" t="n">
        <x:f>IF(B24="","",R24*G24)</x:f>
        <x:v>-14943.98283176589</x:v>
      </x:c>
    </x:row>
    <x:row r="25">
      <x:c r="A25" s="111" t="n">
        <x:v>20</x:v>
      </x:c>
      <x:c r="B25" s="148" t="n">
        <x:f>IF(A25&lt;='Inputs'!$B$37,A25/'Inputs'!$B$9,"")</x:f>
        <x:v>5</x:v>
      </x:c>
      <x:c r="C25" s="148" t="n">
        <x:f>IF(B25="","",MAX(0,B25-1/'Inputs'!$B$9))</x:f>
        <x:v>4.75</x:v>
      </x:c>
      <x:c r="D25" s="148" t="n">
        <x:f>IF(B25="","",EXP(-'Inputs'!$B$34*C25))</x:f>
        <x:v>0.8043600124602903</x:v>
      </x:c>
      <x:c r="E25" s="148" t="n">
        <x:f>IF(B25="","",EXP(-'Inputs'!$B$34*B25))</x:f>
        <x:v>0.7951959897951257</x:v>
      </x:c>
      <x:c r="F25" s="148" t="n">
        <x:f>IF(B25="","",D25-E25)</x:f>
        <x:v>0.009164022665164584</x:v>
      </x:c>
      <x:c r="G25" s="148" t="n">
        <x:f>IF(B25="","",EXP(-'Inputs'!$B$18*B25))</x:f>
        <x:v>0.8085603163214524</x:v>
      </x:c>
      <x:c r="H25" s="118" t="n">
        <x:f>IF(B25="","",'Inputs'!$B$8*'Inputs'!$B$35/'Inputs'!$B$9)</x:f>
        <x:v>18125</x:v>
      </x:c>
      <x:c r="I25" s="118" t="n">
        <x:f>IF(B25="","",H25*E25)</x:f>
        <x:v>14412.927315036653</x:v>
      </x:c>
      <x:c r="J25" s="118" t="n">
        <x:f>IF(B25="","",'Inputs'!$B$8*'Inputs'!$B$36*F25)</x:f>
        <x:v>3665.6090660658338</x:v>
      </x:c>
      <x:c r="K25" s="118" t="n">
        <x:f>IF(B25="","",IF(A25='Inputs'!$B$37,'Inputs'!$B$8*E25,0))</x:f>
        <x:v>795195.9897951258</x:v>
      </x:c>
      <x:c r="L25" s="118" t="n">
        <x:f>IF(B25="","",SUM(I25:K25))</x:f>
        <x:v>813274.5261762283</x:v>
      </x:c>
      <x:c r="M25" s="118" t="n">
        <x:f>IF(B25="","",L25*G25)</x:f>
        <x:v>657581.5081412304</x:v>
      </x:c>
      <x:c r="N25" s="118" t="n">
        <x:f>IF(B25="","",'Inputs'!$B$8*'Inputs'!$B$19/'Inputs'!$B$9*E25)</x:f>
        <x:v>8448.95739157321</x:v>
      </x:c>
      <x:c r="O25" s="118" t="n">
        <x:f>IF(B25="","",I25-N25)</x:f>
        <x:v>5963.969923463443</x:v>
      </x:c>
      <x:c r="P25" s="118" t="n">
        <x:f>IF(B25="","",IF('Inputs'!$B$6="REPACK",'Inputs'!$B$8*'Inputs'!$B$28/'Inputs'!$B$9*E25+'Inputs'!$B$8*'Inputs'!$B$17*F25+K25,0))</x:f>
        <x:v>0</x:v>
      </x:c>
      <x:c r="Q25" s="118" t="n">
        <x:f>IF(B25="","",IF('Inputs'!$B$6="REPACK",'Inputs'!$B$8*('Inputs'!$B$30+'Inputs'!$B$31)/'Inputs'!$B$9*E25,0))</x:f>
        <x:v>0</x:v>
      </x:c>
      <x:c r="R25" s="118" t="n">
        <x:f>IF(B25="","",IF('Inputs'!$B$6="CLN",-L25,P25-L25-Q25))</x:f>
        <x:v>-813274.5261762283</x:v>
      </x:c>
      <x:c r="S25" s="118" t="n">
        <x:f>IF(B25="","",R25*G25)</x:f>
        <x:v>-657581.5081412304</x:v>
      </x:c>
    </x:row>
    <x:row r="26">
      <x:c r="A26" s="111" t="n">
        <x:v>21</x:v>
      </x:c>
      <x:c r="B26" s="148" t="str">
        <x:f>IF(A26&lt;='Inputs'!$B$37,A26/'Inputs'!$B$9,"")</x:f>
      </x:c>
      <x:c r="C26" s="148" t="str">
        <x:f>IF(B26="","",MAX(0,B26-1/'Inputs'!$B$9))</x:f>
      </x:c>
      <x:c r="D26" s="148" t="str">
        <x:f>IF(B26="","",EXP(-'Inputs'!$B$34*C26))</x:f>
      </x:c>
      <x:c r="E26" s="148" t="str">
        <x:f>IF(B26="","",EXP(-'Inputs'!$B$34*B26))</x:f>
      </x:c>
      <x:c r="F26" s="148" t="str">
        <x:f>IF(B26="","",D26-E26)</x:f>
      </x:c>
      <x:c r="G26" s="148" t="str">
        <x:f>IF(B26="","",EXP(-'Inputs'!$B$18*B26))</x:f>
      </x:c>
      <x:c r="H26" s="118" t="str">
        <x:f>IF(B26="","",'Inputs'!$B$8*'Inputs'!$B$35/'Inputs'!$B$9)</x:f>
      </x:c>
      <x:c r="I26" s="118" t="str">
        <x:f>IF(B26="","",H26*E26)</x:f>
      </x:c>
      <x:c r="J26" s="118" t="str">
        <x:f>IF(B26="","",'Inputs'!$B$8*'Inputs'!$B$36*F26)</x:f>
      </x:c>
      <x:c r="K26" s="118" t="str">
        <x:f>IF(B26="","",IF(A26='Inputs'!$B$37,'Inputs'!$B$8*E26,0))</x:f>
      </x:c>
      <x:c r="L26" s="118" t="str">
        <x:f>IF(B26="","",SUM(I26:K26))</x:f>
      </x:c>
      <x:c r="M26" s="118" t="str">
        <x:f>IF(B26="","",L26*G26)</x:f>
      </x:c>
      <x:c r="N26" s="118" t="str">
        <x:f>IF(B26="","",'Inputs'!$B$8*'Inputs'!$B$19/'Inputs'!$B$9*E26)</x:f>
      </x:c>
      <x:c r="O26" s="118" t="str">
        <x:f>IF(B26="","",I26-N26)</x:f>
      </x:c>
      <x:c r="P26" s="118" t="str">
        <x:f>IF(B26="","",IF('Inputs'!$B$6="REPACK",'Inputs'!$B$8*'Inputs'!$B$28/'Inputs'!$B$9*E26+'Inputs'!$B$8*'Inputs'!$B$17*F26+K26,0))</x:f>
      </x:c>
      <x:c r="Q26" s="118" t="str">
        <x:f>IF(B26="","",IF('Inputs'!$B$6="REPACK",'Inputs'!$B$8*('Inputs'!$B$30+'Inputs'!$B$31)/'Inputs'!$B$9*E26,0))</x:f>
      </x:c>
      <x:c r="R26" s="118" t="str">
        <x:f>IF(B26="","",IF('Inputs'!$B$6="CLN",-L26,P26-L26-Q26))</x:f>
      </x:c>
      <x:c r="S26" s="118" t="str">
        <x:f>IF(B26="","",R26*G26)</x:f>
      </x:c>
    </x:row>
    <x:row r="27">
      <x:c r="A27" s="111" t="n">
        <x:v>22</x:v>
      </x:c>
      <x:c r="B27" s="148" t="str">
        <x:f>IF(A27&lt;='Inputs'!$B$37,A27/'Inputs'!$B$9,"")</x:f>
      </x:c>
      <x:c r="C27" s="148" t="str">
        <x:f>IF(B27="","",MAX(0,B27-1/'Inputs'!$B$9))</x:f>
      </x:c>
      <x:c r="D27" s="148" t="str">
        <x:f>IF(B27="","",EXP(-'Inputs'!$B$34*C27))</x:f>
      </x:c>
      <x:c r="E27" s="148" t="str">
        <x:f>IF(B27="","",EXP(-'Inputs'!$B$34*B27))</x:f>
      </x:c>
      <x:c r="F27" s="148" t="str">
        <x:f>IF(B27="","",D27-E27)</x:f>
      </x:c>
      <x:c r="G27" s="148" t="str">
        <x:f>IF(B27="","",EXP(-'Inputs'!$B$18*B27))</x:f>
      </x:c>
      <x:c r="H27" s="118" t="str">
        <x:f>IF(B27="","",'Inputs'!$B$8*'Inputs'!$B$35/'Inputs'!$B$9)</x:f>
      </x:c>
      <x:c r="I27" s="118" t="str">
        <x:f>IF(B27="","",H27*E27)</x:f>
      </x:c>
      <x:c r="J27" s="118" t="str">
        <x:f>IF(B27="","",'Inputs'!$B$8*'Inputs'!$B$36*F27)</x:f>
      </x:c>
      <x:c r="K27" s="118" t="str">
        <x:f>IF(B27="","",IF(A27='Inputs'!$B$37,'Inputs'!$B$8*E27,0))</x:f>
      </x:c>
      <x:c r="L27" s="118" t="str">
        <x:f>IF(B27="","",SUM(I27:K27))</x:f>
      </x:c>
      <x:c r="M27" s="118" t="str">
        <x:f>IF(B27="","",L27*G27)</x:f>
      </x:c>
      <x:c r="N27" s="118" t="str">
        <x:f>IF(B27="","",'Inputs'!$B$8*'Inputs'!$B$19/'Inputs'!$B$9*E27)</x:f>
      </x:c>
      <x:c r="O27" s="118" t="str">
        <x:f>IF(B27="","",I27-N27)</x:f>
      </x:c>
      <x:c r="P27" s="118" t="str">
        <x:f>IF(B27="","",IF('Inputs'!$B$6="REPACK",'Inputs'!$B$8*'Inputs'!$B$28/'Inputs'!$B$9*E27+'Inputs'!$B$8*'Inputs'!$B$17*F27+K27,0))</x:f>
      </x:c>
      <x:c r="Q27" s="118" t="str">
        <x:f>IF(B27="","",IF('Inputs'!$B$6="REPACK",'Inputs'!$B$8*('Inputs'!$B$30+'Inputs'!$B$31)/'Inputs'!$B$9*E27,0))</x:f>
      </x:c>
      <x:c r="R27" s="118" t="str">
        <x:f>IF(B27="","",IF('Inputs'!$B$6="CLN",-L27,P27-L27-Q27))</x:f>
      </x:c>
      <x:c r="S27" s="118" t="str">
        <x:f>IF(B27="","",R27*G27)</x:f>
      </x:c>
    </x:row>
    <x:row r="28">
      <x:c r="A28" s="111" t="n">
        <x:v>23</x:v>
      </x:c>
      <x:c r="B28" s="148" t="str">
        <x:f>IF(A28&lt;='Inputs'!$B$37,A28/'Inputs'!$B$9,"")</x:f>
      </x:c>
      <x:c r="C28" s="148" t="str">
        <x:f>IF(B28="","",MAX(0,B28-1/'Inputs'!$B$9))</x:f>
      </x:c>
      <x:c r="D28" s="148" t="str">
        <x:f>IF(B28="","",EXP(-'Inputs'!$B$34*C28))</x:f>
      </x:c>
      <x:c r="E28" s="148" t="str">
        <x:f>IF(B28="","",EXP(-'Inputs'!$B$34*B28))</x:f>
      </x:c>
      <x:c r="F28" s="148" t="str">
        <x:f>IF(B28="","",D28-E28)</x:f>
      </x:c>
      <x:c r="G28" s="148" t="str">
        <x:f>IF(B28="","",EXP(-'Inputs'!$B$18*B28))</x:f>
      </x:c>
      <x:c r="H28" s="118" t="str">
        <x:f>IF(B28="","",'Inputs'!$B$8*'Inputs'!$B$35/'Inputs'!$B$9)</x:f>
      </x:c>
      <x:c r="I28" s="118" t="str">
        <x:f>IF(B28="","",H28*E28)</x:f>
      </x:c>
      <x:c r="J28" s="118" t="str">
        <x:f>IF(B28="","",'Inputs'!$B$8*'Inputs'!$B$36*F28)</x:f>
      </x:c>
      <x:c r="K28" s="118" t="str">
        <x:f>IF(B28="","",IF(A28='Inputs'!$B$37,'Inputs'!$B$8*E28,0))</x:f>
      </x:c>
      <x:c r="L28" s="118" t="str">
        <x:f>IF(B28="","",SUM(I28:K28))</x:f>
      </x:c>
      <x:c r="M28" s="118" t="str">
        <x:f>IF(B28="","",L28*G28)</x:f>
      </x:c>
      <x:c r="N28" s="118" t="str">
        <x:f>IF(B28="","",'Inputs'!$B$8*'Inputs'!$B$19/'Inputs'!$B$9*E28)</x:f>
      </x:c>
      <x:c r="O28" s="118" t="str">
        <x:f>IF(B28="","",I28-N28)</x:f>
      </x:c>
      <x:c r="P28" s="118" t="str">
        <x:f>IF(B28="","",IF('Inputs'!$B$6="REPACK",'Inputs'!$B$8*'Inputs'!$B$28/'Inputs'!$B$9*E28+'Inputs'!$B$8*'Inputs'!$B$17*F28+K28,0))</x:f>
      </x:c>
      <x:c r="Q28" s="118" t="str">
        <x:f>IF(B28="","",IF('Inputs'!$B$6="REPACK",'Inputs'!$B$8*('Inputs'!$B$30+'Inputs'!$B$31)/'Inputs'!$B$9*E28,0))</x:f>
      </x:c>
      <x:c r="R28" s="118" t="str">
        <x:f>IF(B28="","",IF('Inputs'!$B$6="CLN",-L28,P28-L28-Q28))</x:f>
      </x:c>
      <x:c r="S28" s="118" t="str">
        <x:f>IF(B28="","",R28*G28)</x:f>
      </x:c>
    </x:row>
    <x:row r="29">
      <x:c r="A29" s="111" t="n">
        <x:v>24</x:v>
      </x:c>
      <x:c r="B29" s="148" t="str">
        <x:f>IF(A29&lt;='Inputs'!$B$37,A29/'Inputs'!$B$9,"")</x:f>
      </x:c>
      <x:c r="C29" s="148" t="str">
        <x:f>IF(B29="","",MAX(0,B29-1/'Inputs'!$B$9))</x:f>
      </x:c>
      <x:c r="D29" s="148" t="str">
        <x:f>IF(B29="","",EXP(-'Inputs'!$B$34*C29))</x:f>
      </x:c>
      <x:c r="E29" s="148" t="str">
        <x:f>IF(B29="","",EXP(-'Inputs'!$B$34*B29))</x:f>
      </x:c>
      <x:c r="F29" s="148" t="str">
        <x:f>IF(B29="","",D29-E29)</x:f>
      </x:c>
      <x:c r="G29" s="148" t="str">
        <x:f>IF(B29="","",EXP(-'Inputs'!$B$18*B29))</x:f>
      </x:c>
      <x:c r="H29" s="118" t="str">
        <x:f>IF(B29="","",'Inputs'!$B$8*'Inputs'!$B$35/'Inputs'!$B$9)</x:f>
      </x:c>
      <x:c r="I29" s="118" t="str">
        <x:f>IF(B29="","",H29*E29)</x:f>
      </x:c>
      <x:c r="J29" s="118" t="str">
        <x:f>IF(B29="","",'Inputs'!$B$8*'Inputs'!$B$36*F29)</x:f>
      </x:c>
      <x:c r="K29" s="118" t="str">
        <x:f>IF(B29="","",IF(A29='Inputs'!$B$37,'Inputs'!$B$8*E29,0))</x:f>
      </x:c>
      <x:c r="L29" s="118" t="str">
        <x:f>IF(B29="","",SUM(I29:K29))</x:f>
      </x:c>
      <x:c r="M29" s="118" t="str">
        <x:f>IF(B29="","",L29*G29)</x:f>
      </x:c>
      <x:c r="N29" s="118" t="str">
        <x:f>IF(B29="","",'Inputs'!$B$8*'Inputs'!$B$19/'Inputs'!$B$9*E29)</x:f>
      </x:c>
      <x:c r="O29" s="118" t="str">
        <x:f>IF(B29="","",I29-N29)</x:f>
      </x:c>
      <x:c r="P29" s="118" t="str">
        <x:f>IF(B29="","",IF('Inputs'!$B$6="REPACK",'Inputs'!$B$8*'Inputs'!$B$28/'Inputs'!$B$9*E29+'Inputs'!$B$8*'Inputs'!$B$17*F29+K29,0))</x:f>
      </x:c>
      <x:c r="Q29" s="118" t="str">
        <x:f>IF(B29="","",IF('Inputs'!$B$6="REPACK",'Inputs'!$B$8*('Inputs'!$B$30+'Inputs'!$B$31)/'Inputs'!$B$9*E29,0))</x:f>
      </x:c>
      <x:c r="R29" s="118" t="str">
        <x:f>IF(B29="","",IF('Inputs'!$B$6="CLN",-L29,P29-L29-Q29))</x:f>
      </x:c>
      <x:c r="S29" s="118" t="str">
        <x:f>IF(B29="","",R29*G29)</x:f>
      </x:c>
    </x:row>
    <x:row r="30">
      <x:c r="A30" s="111" t="n">
        <x:v>25</x:v>
      </x:c>
      <x:c r="B30" s="148" t="str">
        <x:f>IF(A30&lt;='Inputs'!$B$37,A30/'Inputs'!$B$9,"")</x:f>
      </x:c>
      <x:c r="C30" s="148" t="str">
        <x:f>IF(B30="","",MAX(0,B30-1/'Inputs'!$B$9))</x:f>
      </x:c>
      <x:c r="D30" s="148" t="str">
        <x:f>IF(B30="","",EXP(-'Inputs'!$B$34*C30))</x:f>
      </x:c>
      <x:c r="E30" s="148" t="str">
        <x:f>IF(B30="","",EXP(-'Inputs'!$B$34*B30))</x:f>
      </x:c>
      <x:c r="F30" s="148" t="str">
        <x:f>IF(B30="","",D30-E30)</x:f>
      </x:c>
      <x:c r="G30" s="148" t="str">
        <x:f>IF(B30="","",EXP(-'Inputs'!$B$18*B30))</x:f>
      </x:c>
      <x:c r="H30" s="118" t="str">
        <x:f>IF(B30="","",'Inputs'!$B$8*'Inputs'!$B$35/'Inputs'!$B$9)</x:f>
      </x:c>
      <x:c r="I30" s="118" t="str">
        <x:f>IF(B30="","",H30*E30)</x:f>
      </x:c>
      <x:c r="J30" s="118" t="str">
        <x:f>IF(B30="","",'Inputs'!$B$8*'Inputs'!$B$36*F30)</x:f>
      </x:c>
      <x:c r="K30" s="118" t="str">
        <x:f>IF(B30="","",IF(A30='Inputs'!$B$37,'Inputs'!$B$8*E30,0))</x:f>
      </x:c>
      <x:c r="L30" s="118" t="str">
        <x:f>IF(B30="","",SUM(I30:K30))</x:f>
      </x:c>
      <x:c r="M30" s="118" t="str">
        <x:f>IF(B30="","",L30*G30)</x:f>
      </x:c>
      <x:c r="N30" s="118" t="str">
        <x:f>IF(B30="","",'Inputs'!$B$8*'Inputs'!$B$19/'Inputs'!$B$9*E30)</x:f>
      </x:c>
      <x:c r="O30" s="118" t="str">
        <x:f>IF(B30="","",I30-N30)</x:f>
      </x:c>
      <x:c r="P30" s="118" t="str">
        <x:f>IF(B30="","",IF('Inputs'!$B$6="REPACK",'Inputs'!$B$8*'Inputs'!$B$28/'Inputs'!$B$9*E30+'Inputs'!$B$8*'Inputs'!$B$17*F30+K30,0))</x:f>
      </x:c>
      <x:c r="Q30" s="118" t="str">
        <x:f>IF(B30="","",IF('Inputs'!$B$6="REPACK",'Inputs'!$B$8*('Inputs'!$B$30+'Inputs'!$B$31)/'Inputs'!$B$9*E30,0))</x:f>
      </x:c>
      <x:c r="R30" s="118" t="str">
        <x:f>IF(B30="","",IF('Inputs'!$B$6="CLN",-L30,P30-L30-Q30))</x:f>
      </x:c>
      <x:c r="S30" s="118" t="str">
        <x:f>IF(B30="","",R30*G30)</x:f>
      </x:c>
    </x:row>
    <x:row r="31">
      <x:c r="A31" s="111" t="n">
        <x:v>26</x:v>
      </x:c>
      <x:c r="B31" s="148" t="str">
        <x:f>IF(A31&lt;='Inputs'!$B$37,A31/'Inputs'!$B$9,"")</x:f>
      </x:c>
      <x:c r="C31" s="148" t="str">
        <x:f>IF(B31="","",MAX(0,B31-1/'Inputs'!$B$9))</x:f>
      </x:c>
      <x:c r="D31" s="148" t="str">
        <x:f>IF(B31="","",EXP(-'Inputs'!$B$34*C31))</x:f>
      </x:c>
      <x:c r="E31" s="148" t="str">
        <x:f>IF(B31="","",EXP(-'Inputs'!$B$34*B31))</x:f>
      </x:c>
      <x:c r="F31" s="148" t="str">
        <x:f>IF(B31="","",D31-E31)</x:f>
      </x:c>
      <x:c r="G31" s="148" t="str">
        <x:f>IF(B31="","",EXP(-'Inputs'!$B$18*B31))</x:f>
      </x:c>
      <x:c r="H31" s="118" t="str">
        <x:f>IF(B31="","",'Inputs'!$B$8*'Inputs'!$B$35/'Inputs'!$B$9)</x:f>
      </x:c>
      <x:c r="I31" s="118" t="str">
        <x:f>IF(B31="","",H31*E31)</x:f>
      </x:c>
      <x:c r="J31" s="118" t="str">
        <x:f>IF(B31="","",'Inputs'!$B$8*'Inputs'!$B$36*F31)</x:f>
      </x:c>
      <x:c r="K31" s="118" t="str">
        <x:f>IF(B31="","",IF(A31='Inputs'!$B$37,'Inputs'!$B$8*E31,0))</x:f>
      </x:c>
      <x:c r="L31" s="118" t="str">
        <x:f>IF(B31="","",SUM(I31:K31))</x:f>
      </x:c>
      <x:c r="M31" s="118" t="str">
        <x:f>IF(B31="","",L31*G31)</x:f>
      </x:c>
      <x:c r="N31" s="118" t="str">
        <x:f>IF(B31="","",'Inputs'!$B$8*'Inputs'!$B$19/'Inputs'!$B$9*E31)</x:f>
      </x:c>
      <x:c r="O31" s="118" t="str">
        <x:f>IF(B31="","",I31-N31)</x:f>
      </x:c>
      <x:c r="P31" s="118" t="str">
        <x:f>IF(B31="","",IF('Inputs'!$B$6="REPACK",'Inputs'!$B$8*'Inputs'!$B$28/'Inputs'!$B$9*E31+'Inputs'!$B$8*'Inputs'!$B$17*F31+K31,0))</x:f>
      </x:c>
      <x:c r="Q31" s="118" t="str">
        <x:f>IF(B31="","",IF('Inputs'!$B$6="REPACK",'Inputs'!$B$8*('Inputs'!$B$30+'Inputs'!$B$31)/'Inputs'!$B$9*E31,0))</x:f>
      </x:c>
      <x:c r="R31" s="118" t="str">
        <x:f>IF(B31="","",IF('Inputs'!$B$6="CLN",-L31,P31-L31-Q31))</x:f>
      </x:c>
      <x:c r="S31" s="118" t="str">
        <x:f>IF(B31="","",R31*G31)</x:f>
      </x:c>
    </x:row>
    <x:row r="32">
      <x:c r="A32" s="111" t="n">
        <x:v>27</x:v>
      </x:c>
      <x:c r="B32" s="148" t="str">
        <x:f>IF(A32&lt;='Inputs'!$B$37,A32/'Inputs'!$B$9,"")</x:f>
      </x:c>
      <x:c r="C32" s="148" t="str">
        <x:f>IF(B32="","",MAX(0,B32-1/'Inputs'!$B$9))</x:f>
      </x:c>
      <x:c r="D32" s="148" t="str">
        <x:f>IF(B32="","",EXP(-'Inputs'!$B$34*C32))</x:f>
      </x:c>
      <x:c r="E32" s="148" t="str">
        <x:f>IF(B32="","",EXP(-'Inputs'!$B$34*B32))</x:f>
      </x:c>
      <x:c r="F32" s="148" t="str">
        <x:f>IF(B32="","",D32-E32)</x:f>
      </x:c>
      <x:c r="G32" s="148" t="str">
        <x:f>IF(B32="","",EXP(-'Inputs'!$B$18*B32))</x:f>
      </x:c>
      <x:c r="H32" s="118" t="str">
        <x:f>IF(B32="","",'Inputs'!$B$8*'Inputs'!$B$35/'Inputs'!$B$9)</x:f>
      </x:c>
      <x:c r="I32" s="118" t="str">
        <x:f>IF(B32="","",H32*E32)</x:f>
      </x:c>
      <x:c r="J32" s="118" t="str">
        <x:f>IF(B32="","",'Inputs'!$B$8*'Inputs'!$B$36*F32)</x:f>
      </x:c>
      <x:c r="K32" s="118" t="str">
        <x:f>IF(B32="","",IF(A32='Inputs'!$B$37,'Inputs'!$B$8*E32,0))</x:f>
      </x:c>
      <x:c r="L32" s="118" t="str">
        <x:f>IF(B32="","",SUM(I32:K32))</x:f>
      </x:c>
      <x:c r="M32" s="118" t="str">
        <x:f>IF(B32="","",L32*G32)</x:f>
      </x:c>
      <x:c r="N32" s="118" t="str">
        <x:f>IF(B32="","",'Inputs'!$B$8*'Inputs'!$B$19/'Inputs'!$B$9*E32)</x:f>
      </x:c>
      <x:c r="O32" s="118" t="str">
        <x:f>IF(B32="","",I32-N32)</x:f>
      </x:c>
      <x:c r="P32" s="118" t="str">
        <x:f>IF(B32="","",IF('Inputs'!$B$6="REPACK",'Inputs'!$B$8*'Inputs'!$B$28/'Inputs'!$B$9*E32+'Inputs'!$B$8*'Inputs'!$B$17*F32+K32,0))</x:f>
      </x:c>
      <x:c r="Q32" s="118" t="str">
        <x:f>IF(B32="","",IF('Inputs'!$B$6="REPACK",'Inputs'!$B$8*('Inputs'!$B$30+'Inputs'!$B$31)/'Inputs'!$B$9*E32,0))</x:f>
      </x:c>
      <x:c r="R32" s="118" t="str">
        <x:f>IF(B32="","",IF('Inputs'!$B$6="CLN",-L32,P32-L32-Q32))</x:f>
      </x:c>
      <x:c r="S32" s="118" t="str">
        <x:f>IF(B32="","",R32*G32)</x:f>
      </x:c>
    </x:row>
    <x:row r="33">
      <x:c r="A33" s="111" t="n">
        <x:v>28</x:v>
      </x:c>
      <x:c r="B33" s="148" t="str">
        <x:f>IF(A33&lt;='Inputs'!$B$37,A33/'Inputs'!$B$9,"")</x:f>
      </x:c>
      <x:c r="C33" s="148" t="str">
        <x:f>IF(B33="","",MAX(0,B33-1/'Inputs'!$B$9))</x:f>
      </x:c>
      <x:c r="D33" s="148" t="str">
        <x:f>IF(B33="","",EXP(-'Inputs'!$B$34*C33))</x:f>
      </x:c>
      <x:c r="E33" s="148" t="str">
        <x:f>IF(B33="","",EXP(-'Inputs'!$B$34*B33))</x:f>
      </x:c>
      <x:c r="F33" s="148" t="str">
        <x:f>IF(B33="","",D33-E33)</x:f>
      </x:c>
      <x:c r="G33" s="148" t="str">
        <x:f>IF(B33="","",EXP(-'Inputs'!$B$18*B33))</x:f>
      </x:c>
      <x:c r="H33" s="118" t="str">
        <x:f>IF(B33="","",'Inputs'!$B$8*'Inputs'!$B$35/'Inputs'!$B$9)</x:f>
      </x:c>
      <x:c r="I33" s="118" t="str">
        <x:f>IF(B33="","",H33*E33)</x:f>
      </x:c>
      <x:c r="J33" s="118" t="str">
        <x:f>IF(B33="","",'Inputs'!$B$8*'Inputs'!$B$36*F33)</x:f>
      </x:c>
      <x:c r="K33" s="118" t="str">
        <x:f>IF(B33="","",IF(A33='Inputs'!$B$37,'Inputs'!$B$8*E33,0))</x:f>
      </x:c>
      <x:c r="L33" s="118" t="str">
        <x:f>IF(B33="","",SUM(I33:K33))</x:f>
      </x:c>
      <x:c r="M33" s="118" t="str">
        <x:f>IF(B33="","",L33*G33)</x:f>
      </x:c>
      <x:c r="N33" s="118" t="str">
        <x:f>IF(B33="","",'Inputs'!$B$8*'Inputs'!$B$19/'Inputs'!$B$9*E33)</x:f>
      </x:c>
      <x:c r="O33" s="118" t="str">
        <x:f>IF(B33="","",I33-N33)</x:f>
      </x:c>
      <x:c r="P33" s="118" t="str">
        <x:f>IF(B33="","",IF('Inputs'!$B$6="REPACK",'Inputs'!$B$8*'Inputs'!$B$28/'Inputs'!$B$9*E33+'Inputs'!$B$8*'Inputs'!$B$17*F33+K33,0))</x:f>
      </x:c>
      <x:c r="Q33" s="118" t="str">
        <x:f>IF(B33="","",IF('Inputs'!$B$6="REPACK",'Inputs'!$B$8*('Inputs'!$B$30+'Inputs'!$B$31)/'Inputs'!$B$9*E33,0))</x:f>
      </x:c>
      <x:c r="R33" s="118" t="str">
        <x:f>IF(B33="","",IF('Inputs'!$B$6="CLN",-L33,P33-L33-Q33))</x:f>
      </x:c>
      <x:c r="S33" s="118" t="str">
        <x:f>IF(B33="","",R33*G33)</x:f>
      </x:c>
    </x:row>
    <x:row r="34">
      <x:c r="A34" s="111" t="n">
        <x:v>29</x:v>
      </x:c>
      <x:c r="B34" s="148" t="str">
        <x:f>IF(A34&lt;='Inputs'!$B$37,A34/'Inputs'!$B$9,"")</x:f>
      </x:c>
      <x:c r="C34" s="148" t="str">
        <x:f>IF(B34="","",MAX(0,B34-1/'Inputs'!$B$9))</x:f>
      </x:c>
      <x:c r="D34" s="148" t="str">
        <x:f>IF(B34="","",EXP(-'Inputs'!$B$34*C34))</x:f>
      </x:c>
      <x:c r="E34" s="148" t="str">
        <x:f>IF(B34="","",EXP(-'Inputs'!$B$34*B34))</x:f>
      </x:c>
      <x:c r="F34" s="148" t="str">
        <x:f>IF(B34="","",D34-E34)</x:f>
      </x:c>
      <x:c r="G34" s="148" t="str">
        <x:f>IF(B34="","",EXP(-'Inputs'!$B$18*B34))</x:f>
      </x:c>
      <x:c r="H34" s="118" t="str">
        <x:f>IF(B34="","",'Inputs'!$B$8*'Inputs'!$B$35/'Inputs'!$B$9)</x:f>
      </x:c>
      <x:c r="I34" s="118" t="str">
        <x:f>IF(B34="","",H34*E34)</x:f>
      </x:c>
      <x:c r="J34" s="118" t="str">
        <x:f>IF(B34="","",'Inputs'!$B$8*'Inputs'!$B$36*F34)</x:f>
      </x:c>
      <x:c r="K34" s="118" t="str">
        <x:f>IF(B34="","",IF(A34='Inputs'!$B$37,'Inputs'!$B$8*E34,0))</x:f>
      </x:c>
      <x:c r="L34" s="118" t="str">
        <x:f>IF(B34="","",SUM(I34:K34))</x:f>
      </x:c>
      <x:c r="M34" s="118" t="str">
        <x:f>IF(B34="","",L34*G34)</x:f>
      </x:c>
      <x:c r="N34" s="118" t="str">
        <x:f>IF(B34="","",'Inputs'!$B$8*'Inputs'!$B$19/'Inputs'!$B$9*E34)</x:f>
      </x:c>
      <x:c r="O34" s="118" t="str">
        <x:f>IF(B34="","",I34-N34)</x:f>
      </x:c>
      <x:c r="P34" s="118" t="str">
        <x:f>IF(B34="","",IF('Inputs'!$B$6="REPACK",'Inputs'!$B$8*'Inputs'!$B$28/'Inputs'!$B$9*E34+'Inputs'!$B$8*'Inputs'!$B$17*F34+K34,0))</x:f>
      </x:c>
      <x:c r="Q34" s="118" t="str">
        <x:f>IF(B34="","",IF('Inputs'!$B$6="REPACK",'Inputs'!$B$8*('Inputs'!$B$30+'Inputs'!$B$31)/'Inputs'!$B$9*E34,0))</x:f>
      </x:c>
      <x:c r="R34" s="118" t="str">
        <x:f>IF(B34="","",IF('Inputs'!$B$6="CLN",-L34,P34-L34-Q34))</x:f>
      </x:c>
      <x:c r="S34" s="118" t="str">
        <x:f>IF(B34="","",R34*G34)</x:f>
      </x:c>
    </x:row>
    <x:row r="35">
      <x:c r="A35" s="111" t="n">
        <x:v>30</x:v>
      </x:c>
      <x:c r="B35" s="148" t="str">
        <x:f>IF(A35&lt;='Inputs'!$B$37,A35/'Inputs'!$B$9,"")</x:f>
      </x:c>
      <x:c r="C35" s="148" t="str">
        <x:f>IF(B35="","",MAX(0,B35-1/'Inputs'!$B$9))</x:f>
      </x:c>
      <x:c r="D35" s="148" t="str">
        <x:f>IF(B35="","",EXP(-'Inputs'!$B$34*C35))</x:f>
      </x:c>
      <x:c r="E35" s="148" t="str">
        <x:f>IF(B35="","",EXP(-'Inputs'!$B$34*B35))</x:f>
      </x:c>
      <x:c r="F35" s="148" t="str">
        <x:f>IF(B35="","",D35-E35)</x:f>
      </x:c>
      <x:c r="G35" s="148" t="str">
        <x:f>IF(B35="","",EXP(-'Inputs'!$B$18*B35))</x:f>
      </x:c>
      <x:c r="H35" s="118" t="str">
        <x:f>IF(B35="","",'Inputs'!$B$8*'Inputs'!$B$35/'Inputs'!$B$9)</x:f>
      </x:c>
      <x:c r="I35" s="118" t="str">
        <x:f>IF(B35="","",H35*E35)</x:f>
      </x:c>
      <x:c r="J35" s="118" t="str">
        <x:f>IF(B35="","",'Inputs'!$B$8*'Inputs'!$B$36*F35)</x:f>
      </x:c>
      <x:c r="K35" s="118" t="str">
        <x:f>IF(B35="","",IF(A35='Inputs'!$B$37,'Inputs'!$B$8*E35,0))</x:f>
      </x:c>
      <x:c r="L35" s="118" t="str">
        <x:f>IF(B35="","",SUM(I35:K35))</x:f>
      </x:c>
      <x:c r="M35" s="118" t="str">
        <x:f>IF(B35="","",L35*G35)</x:f>
      </x:c>
      <x:c r="N35" s="118" t="str">
        <x:f>IF(B35="","",'Inputs'!$B$8*'Inputs'!$B$19/'Inputs'!$B$9*E35)</x:f>
      </x:c>
      <x:c r="O35" s="118" t="str">
        <x:f>IF(B35="","",I35-N35)</x:f>
      </x:c>
      <x:c r="P35" s="118" t="str">
        <x:f>IF(B35="","",IF('Inputs'!$B$6="REPACK",'Inputs'!$B$8*'Inputs'!$B$28/'Inputs'!$B$9*E35+'Inputs'!$B$8*'Inputs'!$B$17*F35+K35,0))</x:f>
      </x:c>
      <x:c r="Q35" s="118" t="str">
        <x:f>IF(B35="","",IF('Inputs'!$B$6="REPACK",'Inputs'!$B$8*('Inputs'!$B$30+'Inputs'!$B$31)/'Inputs'!$B$9*E35,0))</x:f>
      </x:c>
      <x:c r="R35" s="118" t="str">
        <x:f>IF(B35="","",IF('Inputs'!$B$6="CLN",-L35,P35-L35-Q35))</x:f>
      </x:c>
      <x:c r="S35" s="118" t="str">
        <x:f>IF(B35="","",R35*G35)</x:f>
      </x:c>
    </x:row>
    <x:row r="36">
      <x:c r="A36" s="111" t="n">
        <x:v>31</x:v>
      </x:c>
      <x:c r="B36" s="148" t="str">
        <x:f>IF(A36&lt;='Inputs'!$B$37,A36/'Inputs'!$B$9,"")</x:f>
      </x:c>
      <x:c r="C36" s="148" t="str">
        <x:f>IF(B36="","",MAX(0,B36-1/'Inputs'!$B$9))</x:f>
      </x:c>
      <x:c r="D36" s="148" t="str">
        <x:f>IF(B36="","",EXP(-'Inputs'!$B$34*C36))</x:f>
      </x:c>
      <x:c r="E36" s="148" t="str">
        <x:f>IF(B36="","",EXP(-'Inputs'!$B$34*B36))</x:f>
      </x:c>
      <x:c r="F36" s="148" t="str">
        <x:f>IF(B36="","",D36-E36)</x:f>
      </x:c>
      <x:c r="G36" s="148" t="str">
        <x:f>IF(B36="","",EXP(-'Inputs'!$B$18*B36))</x:f>
      </x:c>
      <x:c r="H36" s="118" t="str">
        <x:f>IF(B36="","",'Inputs'!$B$8*'Inputs'!$B$35/'Inputs'!$B$9)</x:f>
      </x:c>
      <x:c r="I36" s="118" t="str">
        <x:f>IF(B36="","",H36*E36)</x:f>
      </x:c>
      <x:c r="J36" s="118" t="str">
        <x:f>IF(B36="","",'Inputs'!$B$8*'Inputs'!$B$36*F36)</x:f>
      </x:c>
      <x:c r="K36" s="118" t="str">
        <x:f>IF(B36="","",IF(A36='Inputs'!$B$37,'Inputs'!$B$8*E36,0))</x:f>
      </x:c>
      <x:c r="L36" s="118" t="str">
        <x:f>IF(B36="","",SUM(I36:K36))</x:f>
      </x:c>
      <x:c r="M36" s="118" t="str">
        <x:f>IF(B36="","",L36*G36)</x:f>
      </x:c>
      <x:c r="N36" s="118" t="str">
        <x:f>IF(B36="","",'Inputs'!$B$8*'Inputs'!$B$19/'Inputs'!$B$9*E36)</x:f>
      </x:c>
      <x:c r="O36" s="118" t="str">
        <x:f>IF(B36="","",I36-N36)</x:f>
      </x:c>
      <x:c r="P36" s="118" t="str">
        <x:f>IF(B36="","",IF('Inputs'!$B$6="REPACK",'Inputs'!$B$8*'Inputs'!$B$28/'Inputs'!$B$9*E36+'Inputs'!$B$8*'Inputs'!$B$17*F36+K36,0))</x:f>
      </x:c>
      <x:c r="Q36" s="118" t="str">
        <x:f>IF(B36="","",IF('Inputs'!$B$6="REPACK",'Inputs'!$B$8*('Inputs'!$B$30+'Inputs'!$B$31)/'Inputs'!$B$9*E36,0))</x:f>
      </x:c>
      <x:c r="R36" s="118" t="str">
        <x:f>IF(B36="","",IF('Inputs'!$B$6="CLN",-L36,P36-L36-Q36))</x:f>
      </x:c>
      <x:c r="S36" s="118" t="str">
        <x:f>IF(B36="","",R36*G36)</x:f>
      </x:c>
    </x:row>
    <x:row r="37">
      <x:c r="A37" s="111" t="n">
        <x:v>32</x:v>
      </x:c>
      <x:c r="B37" s="148" t="str">
        <x:f>IF(A37&lt;='Inputs'!$B$37,A37/'Inputs'!$B$9,"")</x:f>
      </x:c>
      <x:c r="C37" s="148" t="str">
        <x:f>IF(B37="","",MAX(0,B37-1/'Inputs'!$B$9))</x:f>
      </x:c>
      <x:c r="D37" s="148" t="str">
        <x:f>IF(B37="","",EXP(-'Inputs'!$B$34*C37))</x:f>
      </x:c>
      <x:c r="E37" s="148" t="str">
        <x:f>IF(B37="","",EXP(-'Inputs'!$B$34*B37))</x:f>
      </x:c>
      <x:c r="F37" s="148" t="str">
        <x:f>IF(B37="","",D37-E37)</x:f>
      </x:c>
      <x:c r="G37" s="148" t="str">
        <x:f>IF(B37="","",EXP(-'Inputs'!$B$18*B37))</x:f>
      </x:c>
      <x:c r="H37" s="118" t="str">
        <x:f>IF(B37="","",'Inputs'!$B$8*'Inputs'!$B$35/'Inputs'!$B$9)</x:f>
      </x:c>
      <x:c r="I37" s="118" t="str">
        <x:f>IF(B37="","",H37*E37)</x:f>
      </x:c>
      <x:c r="J37" s="118" t="str">
        <x:f>IF(B37="","",'Inputs'!$B$8*'Inputs'!$B$36*F37)</x:f>
      </x:c>
      <x:c r="K37" s="118" t="str">
        <x:f>IF(B37="","",IF(A37='Inputs'!$B$37,'Inputs'!$B$8*E37,0))</x:f>
      </x:c>
      <x:c r="L37" s="118" t="str">
        <x:f>IF(B37="","",SUM(I37:K37))</x:f>
      </x:c>
      <x:c r="M37" s="118" t="str">
        <x:f>IF(B37="","",L37*G37)</x:f>
      </x:c>
      <x:c r="N37" s="118" t="str">
        <x:f>IF(B37="","",'Inputs'!$B$8*'Inputs'!$B$19/'Inputs'!$B$9*E37)</x:f>
      </x:c>
      <x:c r="O37" s="118" t="str">
        <x:f>IF(B37="","",I37-N37)</x:f>
      </x:c>
      <x:c r="P37" s="118" t="str">
        <x:f>IF(B37="","",IF('Inputs'!$B$6="REPACK",'Inputs'!$B$8*'Inputs'!$B$28/'Inputs'!$B$9*E37+'Inputs'!$B$8*'Inputs'!$B$17*F37+K37,0))</x:f>
      </x:c>
      <x:c r="Q37" s="118" t="str">
        <x:f>IF(B37="","",IF('Inputs'!$B$6="REPACK",'Inputs'!$B$8*('Inputs'!$B$30+'Inputs'!$B$31)/'Inputs'!$B$9*E37,0))</x:f>
      </x:c>
      <x:c r="R37" s="118" t="str">
        <x:f>IF(B37="","",IF('Inputs'!$B$6="CLN",-L37,P37-L37-Q37))</x:f>
      </x:c>
      <x:c r="S37" s="118" t="str">
        <x:f>IF(B37="","",R37*G37)</x:f>
      </x:c>
    </x:row>
    <x:row r="38">
      <x:c r="A38" s="111" t="n">
        <x:v>33</x:v>
      </x:c>
      <x:c r="B38" s="148" t="str">
        <x:f>IF(A38&lt;='Inputs'!$B$37,A38/'Inputs'!$B$9,"")</x:f>
      </x:c>
      <x:c r="C38" s="148" t="str">
        <x:f>IF(B38="","",MAX(0,B38-1/'Inputs'!$B$9))</x:f>
      </x:c>
      <x:c r="D38" s="148" t="str">
        <x:f>IF(B38="","",EXP(-'Inputs'!$B$34*C38))</x:f>
      </x:c>
      <x:c r="E38" s="148" t="str">
        <x:f>IF(B38="","",EXP(-'Inputs'!$B$34*B38))</x:f>
      </x:c>
      <x:c r="F38" s="148" t="str">
        <x:f>IF(B38="","",D38-E38)</x:f>
      </x:c>
      <x:c r="G38" s="148" t="str">
        <x:f>IF(B38="","",EXP(-'Inputs'!$B$18*B38))</x:f>
      </x:c>
      <x:c r="H38" s="118" t="str">
        <x:f>IF(B38="","",'Inputs'!$B$8*'Inputs'!$B$35/'Inputs'!$B$9)</x:f>
      </x:c>
      <x:c r="I38" s="118" t="str">
        <x:f>IF(B38="","",H38*E38)</x:f>
      </x:c>
      <x:c r="J38" s="118" t="str">
        <x:f>IF(B38="","",'Inputs'!$B$8*'Inputs'!$B$36*F38)</x:f>
      </x:c>
      <x:c r="K38" s="118" t="str">
        <x:f>IF(B38="","",IF(A38='Inputs'!$B$37,'Inputs'!$B$8*E38,0))</x:f>
      </x:c>
      <x:c r="L38" s="118" t="str">
        <x:f>IF(B38="","",SUM(I38:K38))</x:f>
      </x:c>
      <x:c r="M38" s="118" t="str">
        <x:f>IF(B38="","",L38*G38)</x:f>
      </x:c>
      <x:c r="N38" s="118" t="str">
        <x:f>IF(B38="","",'Inputs'!$B$8*'Inputs'!$B$19/'Inputs'!$B$9*E38)</x:f>
      </x:c>
      <x:c r="O38" s="118" t="str">
        <x:f>IF(B38="","",I38-N38)</x:f>
      </x:c>
      <x:c r="P38" s="118" t="str">
        <x:f>IF(B38="","",IF('Inputs'!$B$6="REPACK",'Inputs'!$B$8*'Inputs'!$B$28/'Inputs'!$B$9*E38+'Inputs'!$B$8*'Inputs'!$B$17*F38+K38,0))</x:f>
      </x:c>
      <x:c r="Q38" s="118" t="str">
        <x:f>IF(B38="","",IF('Inputs'!$B$6="REPACK",'Inputs'!$B$8*('Inputs'!$B$30+'Inputs'!$B$31)/'Inputs'!$B$9*E38,0))</x:f>
      </x:c>
      <x:c r="R38" s="118" t="str">
        <x:f>IF(B38="","",IF('Inputs'!$B$6="CLN",-L38,P38-L38-Q38))</x:f>
      </x:c>
      <x:c r="S38" s="118" t="str">
        <x:f>IF(B38="","",R38*G38)</x:f>
      </x:c>
    </x:row>
    <x:row r="39">
      <x:c r="A39" s="111" t="n">
        <x:v>34</x:v>
      </x:c>
      <x:c r="B39" s="148" t="str">
        <x:f>IF(A39&lt;='Inputs'!$B$37,A39/'Inputs'!$B$9,"")</x:f>
      </x:c>
      <x:c r="C39" s="148" t="str">
        <x:f>IF(B39="","",MAX(0,B39-1/'Inputs'!$B$9))</x:f>
      </x:c>
      <x:c r="D39" s="148" t="str">
        <x:f>IF(B39="","",EXP(-'Inputs'!$B$34*C39))</x:f>
      </x:c>
      <x:c r="E39" s="148" t="str">
        <x:f>IF(B39="","",EXP(-'Inputs'!$B$34*B39))</x:f>
      </x:c>
      <x:c r="F39" s="148" t="str">
        <x:f>IF(B39="","",D39-E39)</x:f>
      </x:c>
      <x:c r="G39" s="148" t="str">
        <x:f>IF(B39="","",EXP(-'Inputs'!$B$18*B39))</x:f>
      </x:c>
      <x:c r="H39" s="118" t="str">
        <x:f>IF(B39="","",'Inputs'!$B$8*'Inputs'!$B$35/'Inputs'!$B$9)</x:f>
      </x:c>
      <x:c r="I39" s="118" t="str">
        <x:f>IF(B39="","",H39*E39)</x:f>
      </x:c>
      <x:c r="J39" s="118" t="str">
        <x:f>IF(B39="","",'Inputs'!$B$8*'Inputs'!$B$36*F39)</x:f>
      </x:c>
      <x:c r="K39" s="118" t="str">
        <x:f>IF(B39="","",IF(A39='Inputs'!$B$37,'Inputs'!$B$8*E39,0))</x:f>
      </x:c>
      <x:c r="L39" s="118" t="str">
        <x:f>IF(B39="","",SUM(I39:K39))</x:f>
      </x:c>
      <x:c r="M39" s="118" t="str">
        <x:f>IF(B39="","",L39*G39)</x:f>
      </x:c>
      <x:c r="N39" s="118" t="str">
        <x:f>IF(B39="","",'Inputs'!$B$8*'Inputs'!$B$19/'Inputs'!$B$9*E39)</x:f>
      </x:c>
      <x:c r="O39" s="118" t="str">
        <x:f>IF(B39="","",I39-N39)</x:f>
      </x:c>
      <x:c r="P39" s="118" t="str">
        <x:f>IF(B39="","",IF('Inputs'!$B$6="REPACK",'Inputs'!$B$8*'Inputs'!$B$28/'Inputs'!$B$9*E39+'Inputs'!$B$8*'Inputs'!$B$17*F39+K39,0))</x:f>
      </x:c>
      <x:c r="Q39" s="118" t="str">
        <x:f>IF(B39="","",IF('Inputs'!$B$6="REPACK",'Inputs'!$B$8*('Inputs'!$B$30+'Inputs'!$B$31)/'Inputs'!$B$9*E39,0))</x:f>
      </x:c>
      <x:c r="R39" s="118" t="str">
        <x:f>IF(B39="","",IF('Inputs'!$B$6="CLN",-L39,P39-L39-Q39))</x:f>
      </x:c>
      <x:c r="S39" s="118" t="str">
        <x:f>IF(B39="","",R39*G39)</x:f>
      </x:c>
    </x:row>
    <x:row r="40">
      <x:c r="A40" s="111" t="n">
        <x:v>35</x:v>
      </x:c>
      <x:c r="B40" s="148" t="str">
        <x:f>IF(A40&lt;='Inputs'!$B$37,A40/'Inputs'!$B$9,"")</x:f>
      </x:c>
      <x:c r="C40" s="148" t="str">
        <x:f>IF(B40="","",MAX(0,B40-1/'Inputs'!$B$9))</x:f>
      </x:c>
      <x:c r="D40" s="148" t="str">
        <x:f>IF(B40="","",EXP(-'Inputs'!$B$34*C40))</x:f>
      </x:c>
      <x:c r="E40" s="148" t="str">
        <x:f>IF(B40="","",EXP(-'Inputs'!$B$34*B40))</x:f>
      </x:c>
      <x:c r="F40" s="148" t="str">
        <x:f>IF(B40="","",D40-E40)</x:f>
      </x:c>
      <x:c r="G40" s="148" t="str">
        <x:f>IF(B40="","",EXP(-'Inputs'!$B$18*B40))</x:f>
      </x:c>
      <x:c r="H40" s="118" t="str">
        <x:f>IF(B40="","",'Inputs'!$B$8*'Inputs'!$B$35/'Inputs'!$B$9)</x:f>
      </x:c>
      <x:c r="I40" s="118" t="str">
        <x:f>IF(B40="","",H40*E40)</x:f>
      </x:c>
      <x:c r="J40" s="118" t="str">
        <x:f>IF(B40="","",'Inputs'!$B$8*'Inputs'!$B$36*F40)</x:f>
      </x:c>
      <x:c r="K40" s="118" t="str">
        <x:f>IF(B40="","",IF(A40='Inputs'!$B$37,'Inputs'!$B$8*E40,0))</x:f>
      </x:c>
      <x:c r="L40" s="118" t="str">
        <x:f>IF(B40="","",SUM(I40:K40))</x:f>
      </x:c>
      <x:c r="M40" s="118" t="str">
        <x:f>IF(B40="","",L40*G40)</x:f>
      </x:c>
      <x:c r="N40" s="118" t="str">
        <x:f>IF(B40="","",'Inputs'!$B$8*'Inputs'!$B$19/'Inputs'!$B$9*E40)</x:f>
      </x:c>
      <x:c r="O40" s="118" t="str">
        <x:f>IF(B40="","",I40-N40)</x:f>
      </x:c>
      <x:c r="P40" s="118" t="str">
        <x:f>IF(B40="","",IF('Inputs'!$B$6="REPACK",'Inputs'!$B$8*'Inputs'!$B$28/'Inputs'!$B$9*E40+'Inputs'!$B$8*'Inputs'!$B$17*F40+K40,0))</x:f>
      </x:c>
      <x:c r="Q40" s="118" t="str">
        <x:f>IF(B40="","",IF('Inputs'!$B$6="REPACK",'Inputs'!$B$8*('Inputs'!$B$30+'Inputs'!$B$31)/'Inputs'!$B$9*E40,0))</x:f>
      </x:c>
      <x:c r="R40" s="118" t="str">
        <x:f>IF(B40="","",IF('Inputs'!$B$6="CLN",-L40,P40-L40-Q40))</x:f>
      </x:c>
      <x:c r="S40" s="118" t="str">
        <x:f>IF(B40="","",R40*G40)</x:f>
      </x:c>
    </x:row>
    <x:row r="41">
      <x:c r="A41" s="111" t="n">
        <x:v>36</x:v>
      </x:c>
      <x:c r="B41" s="148" t="str">
        <x:f>IF(A41&lt;='Inputs'!$B$37,A41/'Inputs'!$B$9,"")</x:f>
      </x:c>
      <x:c r="C41" s="148" t="str">
        <x:f>IF(B41="","",MAX(0,B41-1/'Inputs'!$B$9))</x:f>
      </x:c>
      <x:c r="D41" s="148" t="str">
        <x:f>IF(B41="","",EXP(-'Inputs'!$B$34*C41))</x:f>
      </x:c>
      <x:c r="E41" s="148" t="str">
        <x:f>IF(B41="","",EXP(-'Inputs'!$B$34*B41))</x:f>
      </x:c>
      <x:c r="F41" s="148" t="str">
        <x:f>IF(B41="","",D41-E41)</x:f>
      </x:c>
      <x:c r="G41" s="148" t="str">
        <x:f>IF(B41="","",EXP(-'Inputs'!$B$18*B41))</x:f>
      </x:c>
      <x:c r="H41" s="118" t="str">
        <x:f>IF(B41="","",'Inputs'!$B$8*'Inputs'!$B$35/'Inputs'!$B$9)</x:f>
      </x:c>
      <x:c r="I41" s="118" t="str">
        <x:f>IF(B41="","",H41*E41)</x:f>
      </x:c>
      <x:c r="J41" s="118" t="str">
        <x:f>IF(B41="","",'Inputs'!$B$8*'Inputs'!$B$36*F41)</x:f>
      </x:c>
      <x:c r="K41" s="118" t="str">
        <x:f>IF(B41="","",IF(A41='Inputs'!$B$37,'Inputs'!$B$8*E41,0))</x:f>
      </x:c>
      <x:c r="L41" s="118" t="str">
        <x:f>IF(B41="","",SUM(I41:K41))</x:f>
      </x:c>
      <x:c r="M41" s="118" t="str">
        <x:f>IF(B41="","",L41*G41)</x:f>
      </x:c>
      <x:c r="N41" s="118" t="str">
        <x:f>IF(B41="","",'Inputs'!$B$8*'Inputs'!$B$19/'Inputs'!$B$9*E41)</x:f>
      </x:c>
      <x:c r="O41" s="118" t="str">
        <x:f>IF(B41="","",I41-N41)</x:f>
      </x:c>
      <x:c r="P41" s="118" t="str">
        <x:f>IF(B41="","",IF('Inputs'!$B$6="REPACK",'Inputs'!$B$8*'Inputs'!$B$28/'Inputs'!$B$9*E41+'Inputs'!$B$8*'Inputs'!$B$17*F41+K41,0))</x:f>
      </x:c>
      <x:c r="Q41" s="118" t="str">
        <x:f>IF(B41="","",IF('Inputs'!$B$6="REPACK",'Inputs'!$B$8*('Inputs'!$B$30+'Inputs'!$B$31)/'Inputs'!$B$9*E41,0))</x:f>
      </x:c>
      <x:c r="R41" s="118" t="str">
        <x:f>IF(B41="","",IF('Inputs'!$B$6="CLN",-L41,P41-L41-Q41))</x:f>
      </x:c>
      <x:c r="S41" s="118" t="str">
        <x:f>IF(B41="","",R41*G41)</x:f>
      </x:c>
    </x:row>
    <x:row r="42">
      <x:c r="A42" s="111" t="n">
        <x:v>37</x:v>
      </x:c>
      <x:c r="B42" s="148" t="str">
        <x:f>IF(A42&lt;='Inputs'!$B$37,A42/'Inputs'!$B$9,"")</x:f>
      </x:c>
      <x:c r="C42" s="148" t="str">
        <x:f>IF(B42="","",MAX(0,B42-1/'Inputs'!$B$9))</x:f>
      </x:c>
      <x:c r="D42" s="148" t="str">
        <x:f>IF(B42="","",EXP(-'Inputs'!$B$34*C42))</x:f>
      </x:c>
      <x:c r="E42" s="148" t="str">
        <x:f>IF(B42="","",EXP(-'Inputs'!$B$34*B42))</x:f>
      </x:c>
      <x:c r="F42" s="148" t="str">
        <x:f>IF(B42="","",D42-E42)</x:f>
      </x:c>
      <x:c r="G42" s="148" t="str">
        <x:f>IF(B42="","",EXP(-'Inputs'!$B$18*B42))</x:f>
      </x:c>
      <x:c r="H42" s="118" t="str">
        <x:f>IF(B42="","",'Inputs'!$B$8*'Inputs'!$B$35/'Inputs'!$B$9)</x:f>
      </x:c>
      <x:c r="I42" s="118" t="str">
        <x:f>IF(B42="","",H42*E42)</x:f>
      </x:c>
      <x:c r="J42" s="118" t="str">
        <x:f>IF(B42="","",'Inputs'!$B$8*'Inputs'!$B$36*F42)</x:f>
      </x:c>
      <x:c r="K42" s="118" t="str">
        <x:f>IF(B42="","",IF(A42='Inputs'!$B$37,'Inputs'!$B$8*E42,0))</x:f>
      </x:c>
      <x:c r="L42" s="118" t="str">
        <x:f>IF(B42="","",SUM(I42:K42))</x:f>
      </x:c>
      <x:c r="M42" s="118" t="str">
        <x:f>IF(B42="","",L42*G42)</x:f>
      </x:c>
      <x:c r="N42" s="118" t="str">
        <x:f>IF(B42="","",'Inputs'!$B$8*'Inputs'!$B$19/'Inputs'!$B$9*E42)</x:f>
      </x:c>
      <x:c r="O42" s="118" t="str">
        <x:f>IF(B42="","",I42-N42)</x:f>
      </x:c>
      <x:c r="P42" s="118" t="str">
        <x:f>IF(B42="","",IF('Inputs'!$B$6="REPACK",'Inputs'!$B$8*'Inputs'!$B$28/'Inputs'!$B$9*E42+'Inputs'!$B$8*'Inputs'!$B$17*F42+K42,0))</x:f>
      </x:c>
      <x:c r="Q42" s="118" t="str">
        <x:f>IF(B42="","",IF('Inputs'!$B$6="REPACK",'Inputs'!$B$8*('Inputs'!$B$30+'Inputs'!$B$31)/'Inputs'!$B$9*E42,0))</x:f>
      </x:c>
      <x:c r="R42" s="118" t="str">
        <x:f>IF(B42="","",IF('Inputs'!$B$6="CLN",-L42,P42-L42-Q42))</x:f>
      </x:c>
      <x:c r="S42" s="118" t="str">
        <x:f>IF(B42="","",R42*G42)</x:f>
      </x:c>
    </x:row>
    <x:row r="43">
      <x:c r="A43" s="111" t="n">
        <x:v>38</x:v>
      </x:c>
      <x:c r="B43" s="148" t="str">
        <x:f>IF(A43&lt;='Inputs'!$B$37,A43/'Inputs'!$B$9,"")</x:f>
      </x:c>
      <x:c r="C43" s="148" t="str">
        <x:f>IF(B43="","",MAX(0,B43-1/'Inputs'!$B$9))</x:f>
      </x:c>
      <x:c r="D43" s="148" t="str">
        <x:f>IF(B43="","",EXP(-'Inputs'!$B$34*C43))</x:f>
      </x:c>
      <x:c r="E43" s="148" t="str">
        <x:f>IF(B43="","",EXP(-'Inputs'!$B$34*B43))</x:f>
      </x:c>
      <x:c r="F43" s="148" t="str">
        <x:f>IF(B43="","",D43-E43)</x:f>
      </x:c>
      <x:c r="G43" s="148" t="str">
        <x:f>IF(B43="","",EXP(-'Inputs'!$B$18*B43))</x:f>
      </x:c>
      <x:c r="H43" s="118" t="str">
        <x:f>IF(B43="","",'Inputs'!$B$8*'Inputs'!$B$35/'Inputs'!$B$9)</x:f>
      </x:c>
      <x:c r="I43" s="118" t="str">
        <x:f>IF(B43="","",H43*E43)</x:f>
      </x:c>
      <x:c r="J43" s="118" t="str">
        <x:f>IF(B43="","",'Inputs'!$B$8*'Inputs'!$B$36*F43)</x:f>
      </x:c>
      <x:c r="K43" s="118" t="str">
        <x:f>IF(B43="","",IF(A43='Inputs'!$B$37,'Inputs'!$B$8*E43,0))</x:f>
      </x:c>
      <x:c r="L43" s="118" t="str">
        <x:f>IF(B43="","",SUM(I43:K43))</x:f>
      </x:c>
      <x:c r="M43" s="118" t="str">
        <x:f>IF(B43="","",L43*G43)</x:f>
      </x:c>
      <x:c r="N43" s="118" t="str">
        <x:f>IF(B43="","",'Inputs'!$B$8*'Inputs'!$B$19/'Inputs'!$B$9*E43)</x:f>
      </x:c>
      <x:c r="O43" s="118" t="str">
        <x:f>IF(B43="","",I43-N43)</x:f>
      </x:c>
      <x:c r="P43" s="118" t="str">
        <x:f>IF(B43="","",IF('Inputs'!$B$6="REPACK",'Inputs'!$B$8*'Inputs'!$B$28/'Inputs'!$B$9*E43+'Inputs'!$B$8*'Inputs'!$B$17*F43+K43,0))</x:f>
      </x:c>
      <x:c r="Q43" s="118" t="str">
        <x:f>IF(B43="","",IF('Inputs'!$B$6="REPACK",'Inputs'!$B$8*('Inputs'!$B$30+'Inputs'!$B$31)/'Inputs'!$B$9*E43,0))</x:f>
      </x:c>
      <x:c r="R43" s="118" t="str">
        <x:f>IF(B43="","",IF('Inputs'!$B$6="CLN",-L43,P43-L43-Q43))</x:f>
      </x:c>
      <x:c r="S43" s="118" t="str">
        <x:f>IF(B43="","",R43*G43)</x:f>
      </x:c>
    </x:row>
    <x:row r="44">
      <x:c r="A44" s="111" t="n">
        <x:v>39</x:v>
      </x:c>
      <x:c r="B44" s="148" t="str">
        <x:f>IF(A44&lt;='Inputs'!$B$37,A44/'Inputs'!$B$9,"")</x:f>
      </x:c>
      <x:c r="C44" s="148" t="str">
        <x:f>IF(B44="","",MAX(0,B44-1/'Inputs'!$B$9))</x:f>
      </x:c>
      <x:c r="D44" s="148" t="str">
        <x:f>IF(B44="","",EXP(-'Inputs'!$B$34*C44))</x:f>
      </x:c>
      <x:c r="E44" s="148" t="str">
        <x:f>IF(B44="","",EXP(-'Inputs'!$B$34*B44))</x:f>
      </x:c>
      <x:c r="F44" s="148" t="str">
        <x:f>IF(B44="","",D44-E44)</x:f>
      </x:c>
      <x:c r="G44" s="148" t="str">
        <x:f>IF(B44="","",EXP(-'Inputs'!$B$18*B44))</x:f>
      </x:c>
      <x:c r="H44" s="118" t="str">
        <x:f>IF(B44="","",'Inputs'!$B$8*'Inputs'!$B$35/'Inputs'!$B$9)</x:f>
      </x:c>
      <x:c r="I44" s="118" t="str">
        <x:f>IF(B44="","",H44*E44)</x:f>
      </x:c>
      <x:c r="J44" s="118" t="str">
        <x:f>IF(B44="","",'Inputs'!$B$8*'Inputs'!$B$36*F44)</x:f>
      </x:c>
      <x:c r="K44" s="118" t="str">
        <x:f>IF(B44="","",IF(A44='Inputs'!$B$37,'Inputs'!$B$8*E44,0))</x:f>
      </x:c>
      <x:c r="L44" s="118" t="str">
        <x:f>IF(B44="","",SUM(I44:K44))</x:f>
      </x:c>
      <x:c r="M44" s="118" t="str">
        <x:f>IF(B44="","",L44*G44)</x:f>
      </x:c>
      <x:c r="N44" s="118" t="str">
        <x:f>IF(B44="","",'Inputs'!$B$8*'Inputs'!$B$19/'Inputs'!$B$9*E44)</x:f>
      </x:c>
      <x:c r="O44" s="118" t="str">
        <x:f>IF(B44="","",I44-N44)</x:f>
      </x:c>
      <x:c r="P44" s="118" t="str">
        <x:f>IF(B44="","",IF('Inputs'!$B$6="REPACK",'Inputs'!$B$8*'Inputs'!$B$28/'Inputs'!$B$9*E44+'Inputs'!$B$8*'Inputs'!$B$17*F44+K44,0))</x:f>
      </x:c>
      <x:c r="Q44" s="118" t="str">
        <x:f>IF(B44="","",IF('Inputs'!$B$6="REPACK",'Inputs'!$B$8*('Inputs'!$B$30+'Inputs'!$B$31)/'Inputs'!$B$9*E44,0))</x:f>
      </x:c>
      <x:c r="R44" s="118" t="str">
        <x:f>IF(B44="","",IF('Inputs'!$B$6="CLN",-L44,P44-L44-Q44))</x:f>
      </x:c>
      <x:c r="S44" s="118" t="str">
        <x:f>IF(B44="","",R44*G44)</x:f>
      </x:c>
    </x:row>
    <x:row r="45">
      <x:c r="A45" s="111" t="n">
        <x:v>40</x:v>
      </x:c>
      <x:c r="B45" s="148" t="str">
        <x:f>IF(A45&lt;='Inputs'!$B$37,A45/'Inputs'!$B$9,"")</x:f>
      </x:c>
      <x:c r="C45" s="148" t="str">
        <x:f>IF(B45="","",MAX(0,B45-1/'Inputs'!$B$9))</x:f>
      </x:c>
      <x:c r="D45" s="148" t="str">
        <x:f>IF(B45="","",EXP(-'Inputs'!$B$34*C45))</x:f>
      </x:c>
      <x:c r="E45" s="148" t="str">
        <x:f>IF(B45="","",EXP(-'Inputs'!$B$34*B45))</x:f>
      </x:c>
      <x:c r="F45" s="148" t="str">
        <x:f>IF(B45="","",D45-E45)</x:f>
      </x:c>
      <x:c r="G45" s="148" t="str">
        <x:f>IF(B45="","",EXP(-'Inputs'!$B$18*B45))</x:f>
      </x:c>
      <x:c r="H45" s="118" t="str">
        <x:f>IF(B45="","",'Inputs'!$B$8*'Inputs'!$B$35/'Inputs'!$B$9)</x:f>
      </x:c>
      <x:c r="I45" s="118" t="str">
        <x:f>IF(B45="","",H45*E45)</x:f>
      </x:c>
      <x:c r="J45" s="118" t="str">
        <x:f>IF(B45="","",'Inputs'!$B$8*'Inputs'!$B$36*F45)</x:f>
      </x:c>
      <x:c r="K45" s="118" t="str">
        <x:f>IF(B45="","",IF(A45='Inputs'!$B$37,'Inputs'!$B$8*E45,0))</x:f>
      </x:c>
      <x:c r="L45" s="118" t="str">
        <x:f>IF(B45="","",SUM(I45:K45))</x:f>
      </x:c>
      <x:c r="M45" s="118" t="str">
        <x:f>IF(B45="","",L45*G45)</x:f>
      </x:c>
      <x:c r="N45" s="118" t="str">
        <x:f>IF(B45="","",'Inputs'!$B$8*'Inputs'!$B$19/'Inputs'!$B$9*E45)</x:f>
      </x:c>
      <x:c r="O45" s="118" t="str">
        <x:f>IF(B45="","",I45-N45)</x:f>
      </x:c>
      <x:c r="P45" s="118" t="str">
        <x:f>IF(B45="","",IF('Inputs'!$B$6="REPACK",'Inputs'!$B$8*'Inputs'!$B$28/'Inputs'!$B$9*E45+'Inputs'!$B$8*'Inputs'!$B$17*F45+K45,0))</x:f>
      </x:c>
      <x:c r="Q45" s="118" t="str">
        <x:f>IF(B45="","",IF('Inputs'!$B$6="REPACK",'Inputs'!$B$8*('Inputs'!$B$30+'Inputs'!$B$31)/'Inputs'!$B$9*E45,0))</x:f>
      </x:c>
      <x:c r="R45" s="118" t="str">
        <x:f>IF(B45="","",IF('Inputs'!$B$6="CLN",-L45,P45-L45-Q45))</x:f>
      </x:c>
      <x:c r="S45" s="118" t="str">
        <x:f>IF(B45="","",R45*G45)</x:f>
      </x:c>
    </x:row>
    <x:row r="46">
      <x:c r="A46" s="111"/>
      <x:c r="B46" s="111"/>
      <x:c r="C46" s="111"/>
      <x:c r="D46" s="111"/>
      <x:c r="E46" s="111"/>
      <x:c r="F46" s="111"/>
      <x:c r="G46" s="111"/>
      <x:c r="H46" s="149"/>
      <x:c r="I46" s="149"/>
      <x:c r="J46" s="149"/>
      <x:c r="K46" s="149"/>
      <x:c r="L46" s="149"/>
      <x:c r="M46" s="149"/>
      <x:c r="N46" s="149"/>
      <x:c r="O46" s="149"/>
      <x:c r="P46" s="149"/>
      <x:c r="Q46" s="149"/>
      <x:c r="R46" s="149"/>
      <x:c r="S46" s="149"/>
    </x:row>
    <x:row r="47">
      <x:c r="A47" s="150" t="str">
        <x:v>TOTAL</x:v>
      </x:c>
      <x:c r="B47" s="150"/>
      <x:c r="C47" s="150"/>
      <x:c r="D47" s="150"/>
      <x:c r="E47" s="150"/>
      <x:c r="F47" s="150" t="n">
        <x:f>SUM(F6:F45)</x:f>
        <x:v>0.20480401020487426</x:v>
      </x:c>
      <x:c r="G47" s="150"/>
      <x:c r="H47" s="151" t="n">
        <x:f>SUM(H6:H45)</x:f>
        <x:v>362500</x:v>
      </x:c>
      <x:c r="I47" s="151" t="n">
        <x:f>SUM(I6:I45)</x:f>
        <x:v>322110.21521495725</x:v>
      </x:c>
      <x:c r="J47" s="151" t="n">
        <x:f>SUM(J6:J45)</x:f>
        <x:v>81921.6040819497</x:v>
      </x:c>
      <x:c r="K47" s="151" t="n">
        <x:f>SUM(K6:K45)</x:f>
        <x:v>795195.9897951258</x:v>
      </x:c>
      <x:c r="L47" s="151" t="n">
        <x:f>SUM(L6:L45)</x:f>
        <x:v>1199227.8090920327</x:v>
      </x:c>
      <x:c r="M47" s="151" t="n">
        <x:f>SUM(M6:M45)</x:f>
        <x:v>1006487.3474349717</x:v>
      </x:c>
      <x:c r="N47" s="151" t="n">
        <x:f>SUM(N6:N45)</x:f>
        <x:v>188823.229608768</x:v>
      </x:c>
      <x:c r="O47" s="151" t="n">
        <x:f>SUM(O6:O45)</x:f>
        <x:v>133286.98560618918</x:v>
      </x:c>
      <x:c r="P47" s="151" t="n">
        <x:f>SUM(P6:P45)</x:f>
        <x:v>0</x:v>
      </x:c>
      <x:c r="Q47" s="151" t="n">
        <x:f>SUM(Q6:Q45)</x:f>
        <x:v>0</x:v>
      </x:c>
      <x:c r="R47" s="151" t="n">
        <x:f>SUM(R6:R45)</x:f>
        <x:v>-1199227.8090920327</x:v>
      </x:c>
      <x:c r="S47" s="151" t="n">
        <x:f>SUM(S6:S45)</x:f>
        <x:v>-1006487.3474349717</x:v>
      </x:c>
    </x:row>
    <x:row r="48">
      <x:c r="A48" s="111"/>
      <x:c r="B48" s="111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</x:row>
    <x:row r="49">
      <x:c r="A49" s="15" t="str">
        <x:v>CONTROL</x:v>
      </x:c>
      <x:c r="B49" s="15" t="str">
        <x:v>Actual</x:v>
      </x:c>
      <x:c r="C49" s="15" t="str">
        <x:v>Expected</x:v>
      </x:c>
      <x:c r="D49" s="15" t="str">
        <x:v>Difference</x:v>
      </x:c>
      <x:c r="E49" s="15" t="str">
        <x:v>Tolerance</x:v>
      </x:c>
      <x:c r="F49" s="15" t="str">
        <x:v>Status</x:v>
      </x:c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</x:row>
    <x:row r="50">
      <x:c r="A50" s="111" t="str">
        <x:v>Probability conservation</x:v>
      </x:c>
      <x:c r="B50" s="152" t="n">
        <x:f>SUM(F6:F45)+EXP(-'Inputs'!$B$34*'Inputs'!$B$10)</x:f>
        <x:v>1</x:v>
      </x:c>
      <x:c r="C50" s="152" t="n">
        <x:v>1</x:v>
      </x:c>
      <x:c r="D50" s="152" t="n">
        <x:f>B50-C50</x:f>
        <x:v>0</x:v>
      </x:c>
      <x:c r="E50" s="152" t="n">
        <x:v>1e-7</x:v>
      </x:c>
      <x:c r="F50" s="153" t="str">
        <x:f>IF(ABS(D50)&lt;=E50,"OK","FAIL")</x:f>
        <x:v>OK</x:v>
      </x:c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</x:row>
    <x:row r="51">
      <x:c r="A51" s="111" t="str">
        <x:v>Active periods</x:v>
      </x:c>
      <x:c r="B51" s="152" t="n">
        <x:f>COUNT(B6:B45)</x:f>
        <x:v>20</x:v>
      </x:c>
      <x:c r="C51" s="152" t="n">
        <x:f>'Inputs'!$B$37</x:f>
        <x:v>20</x:v>
      </x:c>
      <x:c r="D51" s="152" t="n">
        <x:f>B51-C51</x:f>
        <x:v>0</x:v>
      </x:c>
      <x:c r="E51" s="152" t="n">
        <x:v>0</x:v>
      </x:c>
      <x:c r="F51" s="153" t="str">
        <x:f>IF(ABS(D51)&lt;=E51,"OK","FAIL")</x:f>
        <x:v>OK</x:v>
      </x:c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</x:row>
    <x:row r="52">
      <x:c r="A52" s="111" t="str">
        <x:v>Note PV tie</x:v>
      </x:c>
      <x:c r="B52" s="152" t="n">
        <x:f>SUM(M6:M45)</x:f>
        <x:v>1006487.3474349717</x:v>
      </x:c>
      <x:c r="C52" s="152" t="n">
        <x:f>SUMPRODUCT(L6:L45,G6:G45)</x:f>
        <x:v>1006487.3474349717</x:v>
      </x:c>
      <x:c r="D52" s="152" t="n">
        <x:f>B52-C52</x:f>
        <x:v>0</x:v>
      </x:c>
      <x:c r="E52" s="152" t="n">
        <x:v>0.01</x:v>
      </x:c>
      <x:c r="F52" s="153" t="str">
        <x:f>IF(ABS(D52)&lt;=E52,"OK","FAIL")</x:f>
        <x:v>OK</x:v>
      </x:c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</x:row>
  </x:sheetData>
  <x:mergeCells>
    <x:mergeCell ref="A1:S1"/>
    <x:mergeCell ref="A3:S3"/>
  </x:mergeCells>
  <x:conditionalFormatting sqref="F50:F52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178" t="str">
        <x:v>CREDIT STRUCTURING CASH-FLOW ENGINE | SENSITIVITIES</x:v>
      </x:c>
      <x:c r="B1" s="178" t="str">
        <x:v>CREDIT STRUCTURING CASH-FLOW ENGINE | SENSITIVITIES</x:v>
      </x:c>
      <x:c r="C1" s="178" t="str">
        <x:v>CREDIT STRUCTURING CASH-FLOW ENGINE | SENSITIVITIES</x:v>
      </x:c>
      <x:c r="D1" s="178" t="str">
        <x:v>CREDIT STRUCTURING CASH-FLOW ENGINE | SENSITIVITIES</x:v>
      </x:c>
      <x:c r="E1" s="178" t="str">
        <x:v>CREDIT STRUCTURING CASH-FLOW ENGINE | SENSITIVITIES</x:v>
      </x:c>
      <x:c r="F1" s="178" t="str">
        <x:v>CREDIT STRUCTURING CASH-FLOW ENGINE | SENSITIVITIES</x:v>
      </x:c>
      <x:c r="G1" s="178" t="str">
        <x:v>CREDIT STRUCTURING CASH-FLOW ENGINE | SENSITIVITIES</x:v>
      </x:c>
      <x:c r="H1" s="178" t="str">
        <x:v>CREDIT STRUCTURING CASH-FLOW ENGINE | SENSITIVITIES</x:v>
      </x:c>
      <x:c r="I1" s="178" t="str">
        <x:v>CREDIT STRUCTURING CASH-FLOW ENGINE | SENSITIVITIES</x:v>
      </x:c>
      <x:c r="J1" s="178" t="str">
        <x:v>CREDIT STRUCTURING CASH-FLOW ENGINE | SENSITIVITIES</x:v>
      </x:c>
      <x:c r="K1" s="178" t="str">
        <x:v>CREDIT STRUCTURING CASH-FLOW ENGINE | SENSITIVITIES</x:v>
      </x:c>
      <x:c r="L1" s="178" t="str">
        <x:v>CREDIT STRUCTURING CASH-FLOW ENGINE | SENSITIVITIES</x:v>
      </x:c>
      <x:c r="M1" s="178" t="str">
        <x:v>CREDIT STRUCTURING CASH-FLOW ENGINE | SENSITIVITIES</x:v>
      </x:c>
      <x:c r="N1" s="178" t="str">
        <x:v>CREDIT STRUCTURING CASH-FLOW ENGINE | SENSITIVITIES</x:v>
      </x:c>
      <x:c r="O1" s="178" t="str">
        <x:v>CREDIT STRUCTURING CASH-FLOW ENGINE | SENSITIVITIES</x:v>
      </x:c>
    </x:row>
    <x:row r="2">
      <x:c r="A2" s="111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</x:row>
    <x:row r="3">
      <x:c r="A3" s="112" t="str">
        <x:v>Formula-driven spread and recovery sensitivities | Each row recalculates survival, loss and note value</x:v>
      </x:c>
      <x:c r="B3" s="112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12"/>
      <x:c r="O3" s="112"/>
    </x:row>
    <x:row r="4">
      <x:c r="A4" s="111"/>
      <x:c r="B4" s="111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  <x:c r="M4" s="111"/>
      <x:c r="N4" s="111"/>
      <x:c r="O4" s="111"/>
    </x:row>
    <x:row r="5" ht="21" customHeight="1">
      <x:c r="A5" s="15" t="str">
        <x:v>Case</x:v>
      </x:c>
      <x:c r="B5" s="15" t="str">
        <x:v>Credit spread</x:v>
      </x:c>
      <x:c r="C5" s="15" t="str">
        <x:v>Recovery</x:v>
      </x:c>
      <x:c r="D5" s="15" t="str">
        <x:v>Hazard rate</x:v>
      </x:c>
      <x:c r="E5" s="15" t="str">
        <x:v>Default probability</x:v>
      </x:c>
      <x:c r="F5" s="15" t="str">
        <x:v>Model price</x:v>
      </x:c>
      <x:c r="G5" s="15" t="str">
        <x:v>Fair coupon</x:v>
      </x:c>
      <x:c r="H5" s="15" t="str">
        <x:v>Survival PV factor</x:v>
      </x:c>
      <x:c r="I5" s="15" t="str">
        <x:v>Default PV factor</x:v>
      </x:c>
      <x:c r="J5" s="10" t="str">
        <x:v>MODEL PRICE HEATMAP</x:v>
      </x:c>
      <x:c r="K5" s="10" t="str">
        <x:v>MODEL PRICE HEATMAP</x:v>
      </x:c>
      <x:c r="L5" s="10" t="str">
        <x:v>MODEL PRICE HEATMAP</x:v>
      </x:c>
      <x:c r="M5" s="10" t="str">
        <x:v>MODEL PRICE HEATMAP</x:v>
      </x:c>
      <x:c r="N5" s="10" t="str">
        <x:v>MODEL PRICE HEATMAP</x:v>
      </x:c>
      <x:c r="O5" s="10" t="str">
        <x:v>MODEL PRICE HEATMAP</x:v>
      </x:c>
    </x:row>
    <x:row r="6">
      <x:c r="A6" s="124" t="str">
        <x:v>S100 / R20</x:v>
      </x:c>
      <x:c r="B6" s="154" t="n">
        <x:v>0.01</x:v>
      </x:c>
      <x:c r="C6" s="154" t="n">
        <x:v>0.2</x:v>
      </x:c>
      <x:c r="D6" s="154" t="n">
        <x:f>IF(C6&lt;1,B6/(1-C6),0)</x:f>
        <x:v>0.012499999999999999</x:v>
      </x:c>
      <x:c r="E6" s="154" t="n">
        <x:f>1-EXP(-D6*'Inputs'!$B$10)</x:f>
        <x:v>0.06058693718652419</x:v>
      </x:c>
      <x:c r="F6" s="154" t="n">
        <x:f>'Inputs'!$B$35/'Inputs'!$B$9*H6+MAX(0,C6-IF('Inputs'!$B$6="REPACK",'Inputs'!$B$21,0))*I6+EXP(-D6*'Inputs'!$B$10)*EXP(-'Inputs'!$B$18*'Inputs'!$B$10)</x:f>
        <x:v>1.0851964493041752</x:v>
      </x:c>
      <x:c r="G6" s="154" t="n">
        <x:f>IF(H6&gt;0,IF('Inputs'!$B$6="CLN",('Inputs'!$B$11-MAX(0,C6-IF('Inputs'!$B$6="REPACK",'Inputs'!$B$21,0))*I6-EXP(-D6*'Inputs'!$B$10)*EXP(-'Inputs'!$B$18*'Inputs'!$B$10))/(H6/'Inputs'!$B$9),('Inputs'!$B$11-'Inputs'!$B$29+'Inputs'!$B$28/'Inputs'!$B$9*H6+C6*I6+EXP(-D6*'Inputs'!$B$10)*EXP(-'Inputs'!$B$18*'Inputs'!$B$10)-MAX(0,C6-IF('Inputs'!$B$6="REPACK",'Inputs'!$B$21,0))*I6-EXP(-D6*'Inputs'!$B$10)*EXP(-'Inputs'!$B$18*'Inputs'!$B$10)-('Inputs'!$B$30+'Inputs'!$B$31)/'Inputs'!$B$9*H6)/(H6/'Inputs'!$B$9)),"")</x:f>
        <x:v>0.052875953724584056</x:v>
      </x:c>
      <x:c r="H6" s="155" t="n">
        <x:f>SUM(IF('Cash Flows'!$B$6="",0,EXP(-D6*'Cash Flows'!$B$6)*EXP(-'Inputs'!$B$18*'Cash Flows'!$B$6)),IF('Cash Flows'!$B$7="",0,EXP(-D6*'Cash Flows'!$B$7)*EXP(-'Inputs'!$B$18*'Cash Flows'!$B$7)),IF('Cash Flows'!$B$8="",0,EXP(-D6*'Cash Flows'!$B$8)*EXP(-'Inputs'!$B$18*'Cash Flows'!$B$8)),IF('Cash Flows'!$B$9="",0,EXP(-D6*'Cash Flows'!$B$9)*EXP(-'Inputs'!$B$18*'Cash Flows'!$B$9)),IF('Cash Flows'!$B$10="",0,EXP(-D6*'Cash Flows'!$B$10)*EXP(-'Inputs'!$B$18*'Cash Flows'!$B$10)),IF('Cash Flows'!$B$11="",0,EXP(-D6*'Cash Flows'!$B$11)*EXP(-'Inputs'!$B$18*'Cash Flows'!$B$11)),IF('Cash Flows'!$B$12="",0,EXP(-D6*'Cash Flows'!$B$12)*EXP(-'Inputs'!$B$18*'Cash Flows'!$B$12)),IF('Cash Flows'!$B$13="",0,EXP(-D6*'Cash Flows'!$B$13)*EXP(-'Inputs'!$B$18*'Cash Flows'!$B$13)),IF('Cash Flows'!$B$14="",0,EXP(-D6*'Cash Flows'!$B$14)*EXP(-'Inputs'!$B$18*'Cash Flows'!$B$14)),IF('Cash Flows'!$B$15="",0,EXP(-D6*'Cash Flows'!$B$15)*EXP(-'Inputs'!$B$18*'Cash Flows'!$B$15)),IF('Cash Flows'!$B$16="",0,EXP(-D6*'Cash Flows'!$B$16)*EXP(-'Inputs'!$B$18*'Cash Flows'!$B$16)),IF('Cash Flows'!$B$17="",0,EXP(-D6*'Cash Flows'!$B$17)*EXP(-'Inputs'!$B$18*'Cash Flows'!$B$17)),IF('Cash Flows'!$B$18="",0,EXP(-D6*'Cash Flows'!$B$18)*EXP(-'Inputs'!$B$18*'Cash Flows'!$B$18)),IF('Cash Flows'!$B$19="",0,EXP(-D6*'Cash Flows'!$B$19)*EXP(-'Inputs'!$B$18*'Cash Flows'!$B$19)),IF('Cash Flows'!$B$20="",0,EXP(-D6*'Cash Flows'!$B$20)*EXP(-'Inputs'!$B$18*'Cash Flows'!$B$20)),IF('Cash Flows'!$B$21="",0,EXP(-D6*'Cash Flows'!$B$21)*EXP(-'Inputs'!$B$18*'Cash Flows'!$B$21)),IF('Cash Flows'!$B$22="",0,EXP(-D6*'Cash Flows'!$B$22)*EXP(-'Inputs'!$B$18*'Cash Flows'!$B$22)),IF('Cash Flows'!$B$23="",0,EXP(-D6*'Cash Flows'!$B$23)*EXP(-'Inputs'!$B$18*'Cash Flows'!$B$23)),IF('Cash Flows'!$B$24="",0,EXP(-D6*'Cash Flows'!$B$24)*EXP(-'Inputs'!$B$18*'Cash Flows'!$B$24)),IF('Cash Flows'!$B$25="",0,EXP(-D6*'Cash Flows'!$B$25)*EXP(-'Inputs'!$B$18*'Cash Flows'!$B$25)),IF('Cash Flows'!$B$26="",0,EXP(-D6*'Cash Flows'!$B$26)*EXP(-'Inputs'!$B$18*'Cash Flows'!$B$26)),IF('Cash Flows'!$B$27="",0,EXP(-D6*'Cash Flows'!$B$27)*EXP(-'Inputs'!$B$18*'Cash Flows'!$B$27)),IF('Cash Flows'!$B$28="",0,EXP(-D6*'Cash Flows'!$B$28)*EXP(-'Inputs'!$B$18*'Cash Flows'!$B$28)),IF('Cash Flows'!$B$29="",0,EXP(-D6*'Cash Flows'!$B$29)*EXP(-'Inputs'!$B$18*'Cash Flows'!$B$29)),IF('Cash Flows'!$B$30="",0,EXP(-D6*'Cash Flows'!$B$30)*EXP(-'Inputs'!$B$18*'Cash Flows'!$B$30)),IF('Cash Flows'!$B$31="",0,EXP(-D6*'Cash Flows'!$B$31)*EXP(-'Inputs'!$B$18*'Cash Flows'!$B$31)),IF('Cash Flows'!$B$32="",0,EXP(-D6*'Cash Flows'!$B$32)*EXP(-'Inputs'!$B$18*'Cash Flows'!$B$32)),IF('Cash Flows'!$B$33="",0,EXP(-D6*'Cash Flows'!$B$33)*EXP(-'Inputs'!$B$18*'Cash Flows'!$B$33)),IF('Cash Flows'!$B$34="",0,EXP(-D6*'Cash Flows'!$B$34)*EXP(-'Inputs'!$B$18*'Cash Flows'!$B$34)),IF('Cash Flows'!$B$35="",0,EXP(-D6*'Cash Flows'!$B$35)*EXP(-'Inputs'!$B$18*'Cash Flows'!$B$35)),IF('Cash Flows'!$B$36="",0,EXP(-D6*'Cash Flows'!$B$36)*EXP(-'Inputs'!$B$18*'Cash Flows'!$B$36)),IF('Cash Flows'!$B$37="",0,EXP(-D6*'Cash Flows'!$B$37)*EXP(-'Inputs'!$B$18*'Cash Flows'!$B$37)),IF('Cash Flows'!$B$38="",0,EXP(-D6*'Cash Flows'!$B$38)*EXP(-'Inputs'!$B$18*'Cash Flows'!$B$38)),IF('Cash Flows'!$B$39="",0,EXP(-D6*'Cash Flows'!$B$39)*EXP(-'Inputs'!$B$18*'Cash Flows'!$B$39)),IF('Cash Flows'!$B$40="",0,EXP(-D6*'Cash Flows'!$B$40)*EXP(-'Inputs'!$B$18*'Cash Flows'!$B$40)),IF('Cash Flows'!$B$41="",0,EXP(-D6*'Cash Flows'!$B$41)*EXP(-'Inputs'!$B$18*'Cash Flows'!$B$41)),IF('Cash Flows'!$B$42="",0,EXP(-D6*'Cash Flows'!$B$42)*EXP(-'Inputs'!$B$18*'Cash Flows'!$B$42)),IF('Cash Flows'!$B$43="",0,EXP(-D6*'Cash Flows'!$B$43)*EXP(-'Inputs'!$B$18*'Cash Flows'!$B$43)),IF('Cash Flows'!$B$44="",0,EXP(-D6*'Cash Flows'!$B$44)*EXP(-'Inputs'!$B$18*'Cash Flows'!$B$44)),IF('Cash Flows'!$B$45="",0,EXP(-D6*'Cash Flows'!$B$45)*EXP(-'Inputs'!$B$18*'Cash Flows'!$B$45)))</x:f>
        <x:v>17.36572531647672</x:v>
      </x:c>
      <x:c r="I6" s="156" t="n">
        <x:f>SUM(IF('Cash Flows'!$B$6="",0,(EXP(-D6*'Cash Flows'!$C$6)-EXP(-D6*'Cash Flows'!$B$6))*EXP(-'Inputs'!$B$18*'Cash Flows'!$B$6)),IF('Cash Flows'!$B$7="",0,(EXP(-D6*'Cash Flows'!$C$7)-EXP(-D6*'Cash Flows'!$B$7))*EXP(-'Inputs'!$B$18*'Cash Flows'!$B$7)),IF('Cash Flows'!$B$8="",0,(EXP(-D6*'Cash Flows'!$C$8)-EXP(-D6*'Cash Flows'!$B$8))*EXP(-'Inputs'!$B$18*'Cash Flows'!$B$8)),IF('Cash Flows'!$B$9="",0,(EXP(-D6*'Cash Flows'!$C$9)-EXP(-D6*'Cash Flows'!$B$9))*EXP(-'Inputs'!$B$18*'Cash Flows'!$B$9)),IF('Cash Flows'!$B$10="",0,(EXP(-D6*'Cash Flows'!$C$10)-EXP(-D6*'Cash Flows'!$B$10))*EXP(-'Inputs'!$B$18*'Cash Flows'!$B$10)),IF('Cash Flows'!$B$11="",0,(EXP(-D6*'Cash Flows'!$C$11)-EXP(-D6*'Cash Flows'!$B$11))*EXP(-'Inputs'!$B$18*'Cash Flows'!$B$11)),IF('Cash Flows'!$B$12="",0,(EXP(-D6*'Cash Flows'!$C$12)-EXP(-D6*'Cash Flows'!$B$12))*EXP(-'Inputs'!$B$18*'Cash Flows'!$B$12)),IF('Cash Flows'!$B$13="",0,(EXP(-D6*'Cash Flows'!$C$13)-EXP(-D6*'Cash Flows'!$B$13))*EXP(-'Inputs'!$B$18*'Cash Flows'!$B$13)),IF('Cash Flows'!$B$14="",0,(EXP(-D6*'Cash Flows'!$C$14)-EXP(-D6*'Cash Flows'!$B$14))*EXP(-'Inputs'!$B$18*'Cash Flows'!$B$14)),IF('Cash Flows'!$B$15="",0,(EXP(-D6*'Cash Flows'!$C$15)-EXP(-D6*'Cash Flows'!$B$15))*EXP(-'Inputs'!$B$18*'Cash Flows'!$B$15)),IF('Cash Flows'!$B$16="",0,(EXP(-D6*'Cash Flows'!$C$16)-EXP(-D6*'Cash Flows'!$B$16))*EXP(-'Inputs'!$B$18*'Cash Flows'!$B$16)),IF('Cash Flows'!$B$17="",0,(EXP(-D6*'Cash Flows'!$C$17)-EXP(-D6*'Cash Flows'!$B$17))*EXP(-'Inputs'!$B$18*'Cash Flows'!$B$17)),IF('Cash Flows'!$B$18="",0,(EXP(-D6*'Cash Flows'!$C$18)-EXP(-D6*'Cash Flows'!$B$18))*EXP(-'Inputs'!$B$18*'Cash Flows'!$B$18)),IF('Cash Flows'!$B$19="",0,(EXP(-D6*'Cash Flows'!$C$19)-EXP(-D6*'Cash Flows'!$B$19))*EXP(-'Inputs'!$B$18*'Cash Flows'!$B$19)),IF('Cash Flows'!$B$20="",0,(EXP(-D6*'Cash Flows'!$C$20)-EXP(-D6*'Cash Flows'!$B$20))*EXP(-'Inputs'!$B$18*'Cash Flows'!$B$20)),IF('Cash Flows'!$B$21="",0,(EXP(-D6*'Cash Flows'!$C$21)-EXP(-D6*'Cash Flows'!$B$21))*EXP(-'Inputs'!$B$18*'Cash Flows'!$B$21)),IF('Cash Flows'!$B$22="",0,(EXP(-D6*'Cash Flows'!$C$22)-EXP(-D6*'Cash Flows'!$B$22))*EXP(-'Inputs'!$B$18*'Cash Flows'!$B$22)),IF('Cash Flows'!$B$23="",0,(EXP(-D6*'Cash Flows'!$C$23)-EXP(-D6*'Cash Flows'!$B$23))*EXP(-'Inputs'!$B$18*'Cash Flows'!$B$23)),IF('Cash Flows'!$B$24="",0,(EXP(-D6*'Cash Flows'!$C$24)-EXP(-D6*'Cash Flows'!$B$24))*EXP(-'Inputs'!$B$18*'Cash Flows'!$B$24)),IF('Cash Flows'!$B$25="",0,(EXP(-D6*'Cash Flows'!$C$25)-EXP(-D6*'Cash Flows'!$B$25))*EXP(-'Inputs'!$B$18*'Cash Flows'!$B$25)),IF('Cash Flows'!$B$26="",0,(EXP(-D6*'Cash Flows'!$C$26)-EXP(-D6*'Cash Flows'!$B$26))*EXP(-'Inputs'!$B$18*'Cash Flows'!$B$26)),IF('Cash Flows'!$B$27="",0,(EXP(-D6*'Cash Flows'!$C$27)-EXP(-D6*'Cash Flows'!$B$27))*EXP(-'Inputs'!$B$18*'Cash Flows'!$B$27)),IF('Cash Flows'!$B$28="",0,(EXP(-D6*'Cash Flows'!$C$28)-EXP(-D6*'Cash Flows'!$B$28))*EXP(-'Inputs'!$B$18*'Cash Flows'!$B$28)),IF('Cash Flows'!$B$29="",0,(EXP(-D6*'Cash Flows'!$C$29)-EXP(-D6*'Cash Flows'!$B$29))*EXP(-'Inputs'!$B$18*'Cash Flows'!$B$29)),IF('Cash Flows'!$B$30="",0,(EXP(-D6*'Cash Flows'!$C$30)-EXP(-D6*'Cash Flows'!$B$30))*EXP(-'Inputs'!$B$18*'Cash Flows'!$B$30)),IF('Cash Flows'!$B$31="",0,(EXP(-D6*'Cash Flows'!$C$31)-EXP(-D6*'Cash Flows'!$B$31))*EXP(-'Inputs'!$B$18*'Cash Flows'!$B$31)),IF('Cash Flows'!$B$32="",0,(EXP(-D6*'Cash Flows'!$C$32)-EXP(-D6*'Cash Flows'!$B$32))*EXP(-'Inputs'!$B$18*'Cash Flows'!$B$32)),IF('Cash Flows'!$B$33="",0,(EXP(-D6*'Cash Flows'!$C$33)-EXP(-D6*'Cash Flows'!$B$33))*EXP(-'Inputs'!$B$18*'Cash Flows'!$B$33)),IF('Cash Flows'!$B$34="",0,(EXP(-D6*'Cash Flows'!$C$34)-EXP(-D6*'Cash Flows'!$B$34))*EXP(-'Inputs'!$B$18*'Cash Flows'!$B$34)),IF('Cash Flows'!$B$35="",0,(EXP(-D6*'Cash Flows'!$C$35)-EXP(-D6*'Cash Flows'!$B$35))*EXP(-'Inputs'!$B$18*'Cash Flows'!$B$35)),IF('Cash Flows'!$B$36="",0,(EXP(-D6*'Cash Flows'!$C$36)-EXP(-D6*'Cash Flows'!$B$36))*EXP(-'Inputs'!$B$18*'Cash Flows'!$B$36)),IF('Cash Flows'!$B$37="",0,(EXP(-D6*'Cash Flows'!$C$37)-EXP(-D6*'Cash Flows'!$B$37))*EXP(-'Inputs'!$B$18*'Cash Flows'!$B$37)),IF('Cash Flows'!$B$38="",0,(EXP(-D6*'Cash Flows'!$C$38)-EXP(-D6*'Cash Flows'!$B$38))*EXP(-'Inputs'!$B$18*'Cash Flows'!$B$38)),IF('Cash Flows'!$B$39="",0,(EXP(-D6*'Cash Flows'!$C$39)-EXP(-D6*'Cash Flows'!$B$39))*EXP(-'Inputs'!$B$18*'Cash Flows'!$B$39)),IF('Cash Flows'!$B$40="",0,(EXP(-D6*'Cash Flows'!$C$40)-EXP(-D6*'Cash Flows'!$B$40))*EXP(-'Inputs'!$B$18*'Cash Flows'!$B$40)),IF('Cash Flows'!$B$41="",0,(EXP(-D6*'Cash Flows'!$C$41)-EXP(-D6*'Cash Flows'!$B$41))*EXP(-'Inputs'!$B$18*'Cash Flows'!$B$41)),IF('Cash Flows'!$B$42="",0,(EXP(-D6*'Cash Flows'!$C$42)-EXP(-D6*'Cash Flows'!$B$42))*EXP(-'Inputs'!$B$18*'Cash Flows'!$B$42)),IF('Cash Flows'!$B$43="",0,(EXP(-D6*'Cash Flows'!$C$43)-EXP(-D6*'Cash Flows'!$B$43))*EXP(-'Inputs'!$B$18*'Cash Flows'!$B$43)),IF('Cash Flows'!$B$44="",0,(EXP(-D6*'Cash Flows'!$C$44)-EXP(-D6*'Cash Flows'!$B$44))*EXP(-'Inputs'!$B$18*'Cash Flows'!$B$44)),IF('Cash Flows'!$B$45="",0,(EXP(-D6*'Cash Flows'!$C$45)-EXP(-D6*'Cash Flows'!$B$45))*EXP(-'Inputs'!$B$18*'Cash Flows'!$B$45)))</x:f>
        <x:v>0.05435277359033142</x:v>
      </x:c>
      <x:c r="J6" s="15" t="str">
        <x:v>Recovery / Spread</x:v>
      </x:c>
      <x:c r="K6" s="94" t="n">
        <x:v>0.01</x:v>
      </x:c>
      <x:c r="L6" s="94" t="n">
        <x:v>0.02</x:v>
      </x:c>
      <x:c r="M6" s="94" t="n">
        <x:v>0.03</x:v>
      </x:c>
      <x:c r="N6" s="94" t="n">
        <x:v>0.04</x:v>
      </x:c>
      <x:c r="O6" s="94" t="n">
        <x:v>0.06</x:v>
      </x:c>
    </x:row>
    <x:row r="7">
      <x:c r="A7" s="129" t="str">
        <x:v>S200 / R20</x:v>
      </x:c>
      <x:c r="B7" s="136" t="n">
        <x:v>0.02</x:v>
      </x:c>
      <x:c r="C7" s="136" t="n">
        <x:v>0.2</x:v>
      </x:c>
      <x:c r="D7" s="136" t="n">
        <x:f>IF(C7&lt;1,B7/(1-C7),0)</x:f>
        <x:v>0.024999999999999998</x:v>
      </x:c>
      <x:c r="E7" s="136" t="n">
        <x:f>1-EXP(-D7*'Inputs'!$B$10)</x:f>
        <x:v>0.11750309741540454</x:v>
      </x:c>
      <x:c r="F7" s="136" t="n">
        <x:f>'Inputs'!$B$35/'Inputs'!$B$9*H7+MAX(0,C7-IF('Inputs'!$B$6="REPACK",'Inputs'!$B$21,0))*I7+EXP(-D7*'Inputs'!$B$10)*EXP(-'Inputs'!$B$18*'Inputs'!$B$10)</x:f>
        <x:v>1.0397354705060255</x:v>
      </x:c>
      <x:c r="G7" s="136" t="n">
        <x:f>IF(H7&gt;0,IF('Inputs'!$B$6="CLN",('Inputs'!$B$11-MAX(0,C7-IF('Inputs'!$B$6="REPACK",'Inputs'!$B$21,0))*I7-EXP(-D7*'Inputs'!$B$10)*EXP(-'Inputs'!$B$18*'Inputs'!$B$10))/(H7/'Inputs'!$B$9),('Inputs'!$B$11-'Inputs'!$B$29+'Inputs'!$B$28/'Inputs'!$B$9*H7+C7*I7+EXP(-D7*'Inputs'!$B$10)*EXP(-'Inputs'!$B$18*'Inputs'!$B$10)-MAX(0,C7-IF('Inputs'!$B$6="REPACK",'Inputs'!$B$21,0))*I7-EXP(-D7*'Inputs'!$B$10)*EXP(-'Inputs'!$B$18*'Inputs'!$B$10)-('Inputs'!$B$30+'Inputs'!$B$31)/'Inputs'!$B$9*H7)/(H7/'Inputs'!$B$9)),"")</x:f>
        <x:v>0.06305709082125772</x:v>
      </x:c>
      <x:c r="H7" s="157" t="n">
        <x:f>SUM(IF('Cash Flows'!$B$6="",0,EXP(-D7*'Cash Flows'!$B$6)*EXP(-'Inputs'!$B$18*'Cash Flows'!$B$6)),IF('Cash Flows'!$B$7="",0,EXP(-D7*'Cash Flows'!$B$7)*EXP(-'Inputs'!$B$18*'Cash Flows'!$B$7)),IF('Cash Flows'!$B$8="",0,EXP(-D7*'Cash Flows'!$B$8)*EXP(-'Inputs'!$B$18*'Cash Flows'!$B$8)),IF('Cash Flows'!$B$9="",0,EXP(-D7*'Cash Flows'!$B$9)*EXP(-'Inputs'!$B$18*'Cash Flows'!$B$9)),IF('Cash Flows'!$B$10="",0,EXP(-D7*'Cash Flows'!$B$10)*EXP(-'Inputs'!$B$18*'Cash Flows'!$B$10)),IF('Cash Flows'!$B$11="",0,EXP(-D7*'Cash Flows'!$B$11)*EXP(-'Inputs'!$B$18*'Cash Flows'!$B$11)),IF('Cash Flows'!$B$12="",0,EXP(-D7*'Cash Flows'!$B$12)*EXP(-'Inputs'!$B$18*'Cash Flows'!$B$12)),IF('Cash Flows'!$B$13="",0,EXP(-D7*'Cash Flows'!$B$13)*EXP(-'Inputs'!$B$18*'Cash Flows'!$B$13)),IF('Cash Flows'!$B$14="",0,EXP(-D7*'Cash Flows'!$B$14)*EXP(-'Inputs'!$B$18*'Cash Flows'!$B$14)),IF('Cash Flows'!$B$15="",0,EXP(-D7*'Cash Flows'!$B$15)*EXP(-'Inputs'!$B$18*'Cash Flows'!$B$15)),IF('Cash Flows'!$B$16="",0,EXP(-D7*'Cash Flows'!$B$16)*EXP(-'Inputs'!$B$18*'Cash Flows'!$B$16)),IF('Cash Flows'!$B$17="",0,EXP(-D7*'Cash Flows'!$B$17)*EXP(-'Inputs'!$B$18*'Cash Flows'!$B$17)),IF('Cash Flows'!$B$18="",0,EXP(-D7*'Cash Flows'!$B$18)*EXP(-'Inputs'!$B$18*'Cash Flows'!$B$18)),IF('Cash Flows'!$B$19="",0,EXP(-D7*'Cash Flows'!$B$19)*EXP(-'Inputs'!$B$18*'Cash Flows'!$B$19)),IF('Cash Flows'!$B$20="",0,EXP(-D7*'Cash Flows'!$B$20)*EXP(-'Inputs'!$B$18*'Cash Flows'!$B$20)),IF('Cash Flows'!$B$21="",0,EXP(-D7*'Cash Flows'!$B$21)*EXP(-'Inputs'!$B$18*'Cash Flows'!$B$21)),IF('Cash Flows'!$B$22="",0,EXP(-D7*'Cash Flows'!$B$22)*EXP(-'Inputs'!$B$18*'Cash Flows'!$B$22)),IF('Cash Flows'!$B$23="",0,EXP(-D7*'Cash Flows'!$B$23)*EXP(-'Inputs'!$B$18*'Cash Flows'!$B$23)),IF('Cash Flows'!$B$24="",0,EXP(-D7*'Cash Flows'!$B$24)*EXP(-'Inputs'!$B$18*'Cash Flows'!$B$24)),IF('Cash Flows'!$B$25="",0,EXP(-D7*'Cash Flows'!$B$25)*EXP(-'Inputs'!$B$18*'Cash Flows'!$B$25)),IF('Cash Flows'!$B$26="",0,EXP(-D7*'Cash Flows'!$B$26)*EXP(-'Inputs'!$B$18*'Cash Flows'!$B$26)),IF('Cash Flows'!$B$27="",0,EXP(-D7*'Cash Flows'!$B$27)*EXP(-'Inputs'!$B$18*'Cash Flows'!$B$27)),IF('Cash Flows'!$B$28="",0,EXP(-D7*'Cash Flows'!$B$28)*EXP(-'Inputs'!$B$18*'Cash Flows'!$B$28)),IF('Cash Flows'!$B$29="",0,EXP(-D7*'Cash Flows'!$B$29)*EXP(-'Inputs'!$B$18*'Cash Flows'!$B$29)),IF('Cash Flows'!$B$30="",0,EXP(-D7*'Cash Flows'!$B$30)*EXP(-'Inputs'!$B$18*'Cash Flows'!$B$30)),IF('Cash Flows'!$B$31="",0,EXP(-D7*'Cash Flows'!$B$31)*EXP(-'Inputs'!$B$18*'Cash Flows'!$B$31)),IF('Cash Flows'!$B$32="",0,EXP(-D7*'Cash Flows'!$B$32)*EXP(-'Inputs'!$B$18*'Cash Flows'!$B$32)),IF('Cash Flows'!$B$33="",0,EXP(-D7*'Cash Flows'!$B$33)*EXP(-'Inputs'!$B$18*'Cash Flows'!$B$33)),IF('Cash Flows'!$B$34="",0,EXP(-D7*'Cash Flows'!$B$34)*EXP(-'Inputs'!$B$18*'Cash Flows'!$B$34)),IF('Cash Flows'!$B$35="",0,EXP(-D7*'Cash Flows'!$B$35)*EXP(-'Inputs'!$B$18*'Cash Flows'!$B$35)),IF('Cash Flows'!$B$36="",0,EXP(-D7*'Cash Flows'!$B$36)*EXP(-'Inputs'!$B$18*'Cash Flows'!$B$36)),IF('Cash Flows'!$B$37="",0,EXP(-D7*'Cash Flows'!$B$37)*EXP(-'Inputs'!$B$18*'Cash Flows'!$B$37)),IF('Cash Flows'!$B$38="",0,EXP(-D7*'Cash Flows'!$B$38)*EXP(-'Inputs'!$B$18*'Cash Flows'!$B$38)),IF('Cash Flows'!$B$39="",0,EXP(-D7*'Cash Flows'!$B$39)*EXP(-'Inputs'!$B$18*'Cash Flows'!$B$39)),IF('Cash Flows'!$B$40="",0,EXP(-D7*'Cash Flows'!$B$40)*EXP(-'Inputs'!$B$18*'Cash Flows'!$B$40)),IF('Cash Flows'!$B$41="",0,EXP(-D7*'Cash Flows'!$B$41)*EXP(-'Inputs'!$B$18*'Cash Flows'!$B$41)),IF('Cash Flows'!$B$42="",0,EXP(-D7*'Cash Flows'!$B$42)*EXP(-'Inputs'!$B$18*'Cash Flows'!$B$42)),IF('Cash Flows'!$B$43="",0,EXP(-D7*'Cash Flows'!$B$43)*EXP(-'Inputs'!$B$18*'Cash Flows'!$B$43)),IF('Cash Flows'!$B$44="",0,EXP(-D7*'Cash Flows'!$B$44)*EXP(-'Inputs'!$B$18*'Cash Flows'!$B$44)),IF('Cash Flows'!$B$45="",0,EXP(-D7*'Cash Flows'!$B$45)*EXP(-'Inputs'!$B$18*'Cash Flows'!$B$45)))</x:f>
        <x:v>16.831876598147247</x:v>
      </x:c>
      <x:c r="I7" s="158" t="n">
        <x:f>SUM(IF('Cash Flows'!$B$6="",0,(EXP(-D7*'Cash Flows'!$C$6)-EXP(-D7*'Cash Flows'!$B$6))*EXP(-'Inputs'!$B$18*'Cash Flows'!$B$6)),IF('Cash Flows'!$B$7="",0,(EXP(-D7*'Cash Flows'!$C$7)-EXP(-D7*'Cash Flows'!$B$7))*EXP(-'Inputs'!$B$18*'Cash Flows'!$B$7)),IF('Cash Flows'!$B$8="",0,(EXP(-D7*'Cash Flows'!$C$8)-EXP(-D7*'Cash Flows'!$B$8))*EXP(-'Inputs'!$B$18*'Cash Flows'!$B$8)),IF('Cash Flows'!$B$9="",0,(EXP(-D7*'Cash Flows'!$C$9)-EXP(-D7*'Cash Flows'!$B$9))*EXP(-'Inputs'!$B$18*'Cash Flows'!$B$9)),IF('Cash Flows'!$B$10="",0,(EXP(-D7*'Cash Flows'!$C$10)-EXP(-D7*'Cash Flows'!$B$10))*EXP(-'Inputs'!$B$18*'Cash Flows'!$B$10)),IF('Cash Flows'!$B$11="",0,(EXP(-D7*'Cash Flows'!$C$11)-EXP(-D7*'Cash Flows'!$B$11))*EXP(-'Inputs'!$B$18*'Cash Flows'!$B$11)),IF('Cash Flows'!$B$12="",0,(EXP(-D7*'Cash Flows'!$C$12)-EXP(-D7*'Cash Flows'!$B$12))*EXP(-'Inputs'!$B$18*'Cash Flows'!$B$12)),IF('Cash Flows'!$B$13="",0,(EXP(-D7*'Cash Flows'!$C$13)-EXP(-D7*'Cash Flows'!$B$13))*EXP(-'Inputs'!$B$18*'Cash Flows'!$B$13)),IF('Cash Flows'!$B$14="",0,(EXP(-D7*'Cash Flows'!$C$14)-EXP(-D7*'Cash Flows'!$B$14))*EXP(-'Inputs'!$B$18*'Cash Flows'!$B$14)),IF('Cash Flows'!$B$15="",0,(EXP(-D7*'Cash Flows'!$C$15)-EXP(-D7*'Cash Flows'!$B$15))*EXP(-'Inputs'!$B$18*'Cash Flows'!$B$15)),IF('Cash Flows'!$B$16="",0,(EXP(-D7*'Cash Flows'!$C$16)-EXP(-D7*'Cash Flows'!$B$16))*EXP(-'Inputs'!$B$18*'Cash Flows'!$B$16)),IF('Cash Flows'!$B$17="",0,(EXP(-D7*'Cash Flows'!$C$17)-EXP(-D7*'Cash Flows'!$B$17))*EXP(-'Inputs'!$B$18*'Cash Flows'!$B$17)),IF('Cash Flows'!$B$18="",0,(EXP(-D7*'Cash Flows'!$C$18)-EXP(-D7*'Cash Flows'!$B$18))*EXP(-'Inputs'!$B$18*'Cash Flows'!$B$18)),IF('Cash Flows'!$B$19="",0,(EXP(-D7*'Cash Flows'!$C$19)-EXP(-D7*'Cash Flows'!$B$19))*EXP(-'Inputs'!$B$18*'Cash Flows'!$B$19)),IF('Cash Flows'!$B$20="",0,(EXP(-D7*'Cash Flows'!$C$20)-EXP(-D7*'Cash Flows'!$B$20))*EXP(-'Inputs'!$B$18*'Cash Flows'!$B$20)),IF('Cash Flows'!$B$21="",0,(EXP(-D7*'Cash Flows'!$C$21)-EXP(-D7*'Cash Flows'!$B$21))*EXP(-'Inputs'!$B$18*'Cash Flows'!$B$21)),IF('Cash Flows'!$B$22="",0,(EXP(-D7*'Cash Flows'!$C$22)-EXP(-D7*'Cash Flows'!$B$22))*EXP(-'Inputs'!$B$18*'Cash Flows'!$B$22)),IF('Cash Flows'!$B$23="",0,(EXP(-D7*'Cash Flows'!$C$23)-EXP(-D7*'Cash Flows'!$B$23))*EXP(-'Inputs'!$B$18*'Cash Flows'!$B$23)),IF('Cash Flows'!$B$24="",0,(EXP(-D7*'Cash Flows'!$C$24)-EXP(-D7*'Cash Flows'!$B$24))*EXP(-'Inputs'!$B$18*'Cash Flows'!$B$24)),IF('Cash Flows'!$B$25="",0,(EXP(-D7*'Cash Flows'!$C$25)-EXP(-D7*'Cash Flows'!$B$25))*EXP(-'Inputs'!$B$18*'Cash Flows'!$B$25)),IF('Cash Flows'!$B$26="",0,(EXP(-D7*'Cash Flows'!$C$26)-EXP(-D7*'Cash Flows'!$B$26))*EXP(-'Inputs'!$B$18*'Cash Flows'!$B$26)),IF('Cash Flows'!$B$27="",0,(EXP(-D7*'Cash Flows'!$C$27)-EXP(-D7*'Cash Flows'!$B$27))*EXP(-'Inputs'!$B$18*'Cash Flows'!$B$27)),IF('Cash Flows'!$B$28="",0,(EXP(-D7*'Cash Flows'!$C$28)-EXP(-D7*'Cash Flows'!$B$28))*EXP(-'Inputs'!$B$18*'Cash Flows'!$B$28)),IF('Cash Flows'!$B$29="",0,(EXP(-D7*'Cash Flows'!$C$29)-EXP(-D7*'Cash Flows'!$B$29))*EXP(-'Inputs'!$B$18*'Cash Flows'!$B$29)),IF('Cash Flows'!$B$30="",0,(EXP(-D7*'Cash Flows'!$C$30)-EXP(-D7*'Cash Flows'!$B$30))*EXP(-'Inputs'!$B$18*'Cash Flows'!$B$30)),IF('Cash Flows'!$B$31="",0,(EXP(-D7*'Cash Flows'!$C$31)-EXP(-D7*'Cash Flows'!$B$31))*EXP(-'Inputs'!$B$18*'Cash Flows'!$B$31)),IF('Cash Flows'!$B$32="",0,(EXP(-D7*'Cash Flows'!$C$32)-EXP(-D7*'Cash Flows'!$B$32))*EXP(-'Inputs'!$B$18*'Cash Flows'!$B$32)),IF('Cash Flows'!$B$33="",0,(EXP(-D7*'Cash Flows'!$C$33)-EXP(-D7*'Cash Flows'!$B$33))*EXP(-'Inputs'!$B$18*'Cash Flows'!$B$33)),IF('Cash Flows'!$B$34="",0,(EXP(-D7*'Cash Flows'!$C$34)-EXP(-D7*'Cash Flows'!$B$34))*EXP(-'Inputs'!$B$18*'Cash Flows'!$B$34)),IF('Cash Flows'!$B$35="",0,(EXP(-D7*'Cash Flows'!$C$35)-EXP(-D7*'Cash Flows'!$B$35))*EXP(-'Inputs'!$B$18*'Cash Flows'!$B$35)),IF('Cash Flows'!$B$36="",0,(EXP(-D7*'Cash Flows'!$C$36)-EXP(-D7*'Cash Flows'!$B$36))*EXP(-'Inputs'!$B$18*'Cash Flows'!$B$36)),IF('Cash Flows'!$B$37="",0,(EXP(-D7*'Cash Flows'!$C$37)-EXP(-D7*'Cash Flows'!$B$37))*EXP(-'Inputs'!$B$18*'Cash Flows'!$B$37)),IF('Cash Flows'!$B$38="",0,(EXP(-D7*'Cash Flows'!$C$38)-EXP(-D7*'Cash Flows'!$B$38))*EXP(-'Inputs'!$B$18*'Cash Flows'!$B$38)),IF('Cash Flows'!$B$39="",0,(EXP(-D7*'Cash Flows'!$C$39)-EXP(-D7*'Cash Flows'!$B$39))*EXP(-'Inputs'!$B$18*'Cash Flows'!$B$39)),IF('Cash Flows'!$B$40="",0,(EXP(-D7*'Cash Flows'!$C$40)-EXP(-D7*'Cash Flows'!$B$40))*EXP(-'Inputs'!$B$18*'Cash Flows'!$B$40)),IF('Cash Flows'!$B$41="",0,(EXP(-D7*'Cash Flows'!$C$41)-EXP(-D7*'Cash Flows'!$B$41))*EXP(-'Inputs'!$B$18*'Cash Flows'!$B$41)),IF('Cash Flows'!$B$42="",0,(EXP(-D7*'Cash Flows'!$C$42)-EXP(-D7*'Cash Flows'!$B$42))*EXP(-'Inputs'!$B$18*'Cash Flows'!$B$42)),IF('Cash Flows'!$B$43="",0,(EXP(-D7*'Cash Flows'!$C$43)-EXP(-D7*'Cash Flows'!$B$43))*EXP(-'Inputs'!$B$18*'Cash Flows'!$B$43)),IF('Cash Flows'!$B$44="",0,(EXP(-D7*'Cash Flows'!$C$44)-EXP(-D7*'Cash Flows'!$B$44))*EXP(-'Inputs'!$B$18*'Cash Flows'!$B$44)),IF('Cash Flows'!$B$45="",0,(EXP(-D7*'Cash Flows'!$C$45)-EXP(-D7*'Cash Flows'!$B$45))*EXP(-'Inputs'!$B$18*'Cash Flows'!$B$45)))</x:f>
        <x:v>0.1055286622905209</x:v>
      </x:c>
      <x:c r="J7" s="95" t="n">
        <x:v>0.2</x:v>
      </x:c>
      <x:c r="K7" s="159" t="n">
        <x:f>SUMIFS($F$6:$F$30,$B$6:$B$30,K$6,$C$6:$C$30,$J7)</x:f>
        <x:v>1.0851964493041752</x:v>
      </x:c>
      <x:c r="L7" s="159" t="n">
        <x:f>SUMIFS($F$6:$F$30,$B$6:$B$30,L$6,$C$6:$C$30,$J7)</x:f>
        <x:v>1.0397354705060255</x:v>
      </x:c>
      <x:c r="M7" s="159" t="n">
        <x:f>SUMIFS($F$6:$F$30,$B$6:$B$30,M$6,$C$6:$C$30,$J7)</x:f>
        <x:v>0.9968580739319837</x:v>
      </x:c>
      <x:c r="N7" s="159" t="n">
        <x:f>SUMIFS($F$6:$F$30,$B$6:$B$30,N$6,$C$6:$C$30,$J7)</x:f>
        <x:v>0.9564127932203248</x:v>
      </x:c>
      <x:c r="O7" s="159" t="n">
        <x:f>SUMIFS($F$6:$F$30,$B$6:$B$30,O$6,$C$6:$C$30,$J7)</x:f>
        <x:v>0.8822571544682982</x:v>
      </x:c>
    </x:row>
    <x:row r="8">
      <x:c r="A8" s="129" t="str">
        <x:v>S300 / R20</x:v>
      </x:c>
      <x:c r="B8" s="136" t="n">
        <x:v>0.03</x:v>
      </x:c>
      <x:c r="C8" s="136" t="n">
        <x:v>0.2</x:v>
      </x:c>
      <x:c r="D8" s="136" t="n">
        <x:f>IF(C8&lt;1,B8/(1-C8),0)</x:f>
        <x:v>0.0375</x:v>
      </x:c>
      <x:c r="E8" s="136" t="n">
        <x:f>1-EXP(-D8*'Inputs'!$B$10)</x:f>
        <x:v>0.17097088181959963</x:v>
      </x:c>
      <x:c r="F8" s="136" t="n">
        <x:f>'Inputs'!$B$35/'Inputs'!$B$9*H8+MAX(0,C8-IF('Inputs'!$B$6="REPACK",'Inputs'!$B$21,0))*I8+EXP(-D8*'Inputs'!$B$10)*EXP(-'Inputs'!$B$18*'Inputs'!$B$10)</x:f>
        <x:v>0.9968580739319837</x:v>
      </x:c>
      <x:c r="G8" s="136" t="n">
        <x:f>IF(H8&gt;0,IF('Inputs'!$B$6="CLN",('Inputs'!$B$11-MAX(0,C8-IF('Inputs'!$B$6="REPACK",'Inputs'!$B$21,0))*I8-EXP(-D8*'Inputs'!$B$10)*EXP(-'Inputs'!$B$18*'Inputs'!$B$10))/(H8/'Inputs'!$B$9),('Inputs'!$B$11-'Inputs'!$B$29+'Inputs'!$B$28/'Inputs'!$B$9*H8+C8*I8+EXP(-D8*'Inputs'!$B$10)*EXP(-'Inputs'!$B$18*'Inputs'!$B$10)-MAX(0,C8-IF('Inputs'!$B$6="REPACK",'Inputs'!$B$21,0))*I8-EXP(-D8*'Inputs'!$B$10)*EXP(-'Inputs'!$B$18*'Inputs'!$B$10)-('Inputs'!$B$30+'Inputs'!$B$31)/'Inputs'!$B$9*H8)/(H8/'Inputs'!$B$9)),"")</x:f>
        <x:v>0.07327009373576637</x:v>
      </x:c>
      <x:c r="H8" s="157" t="n">
        <x:f>SUM(IF('Cash Flows'!$B$6="",0,EXP(-D8*'Cash Flows'!$B$6)*EXP(-'Inputs'!$B$18*'Cash Flows'!$B$6)),IF('Cash Flows'!$B$7="",0,EXP(-D8*'Cash Flows'!$B$7)*EXP(-'Inputs'!$B$18*'Cash Flows'!$B$7)),IF('Cash Flows'!$B$8="",0,EXP(-D8*'Cash Flows'!$B$8)*EXP(-'Inputs'!$B$18*'Cash Flows'!$B$8)),IF('Cash Flows'!$B$9="",0,EXP(-D8*'Cash Flows'!$B$9)*EXP(-'Inputs'!$B$18*'Cash Flows'!$B$9)),IF('Cash Flows'!$B$10="",0,EXP(-D8*'Cash Flows'!$B$10)*EXP(-'Inputs'!$B$18*'Cash Flows'!$B$10)),IF('Cash Flows'!$B$11="",0,EXP(-D8*'Cash Flows'!$B$11)*EXP(-'Inputs'!$B$18*'Cash Flows'!$B$11)),IF('Cash Flows'!$B$12="",0,EXP(-D8*'Cash Flows'!$B$12)*EXP(-'Inputs'!$B$18*'Cash Flows'!$B$12)),IF('Cash Flows'!$B$13="",0,EXP(-D8*'Cash Flows'!$B$13)*EXP(-'Inputs'!$B$18*'Cash Flows'!$B$13)),IF('Cash Flows'!$B$14="",0,EXP(-D8*'Cash Flows'!$B$14)*EXP(-'Inputs'!$B$18*'Cash Flows'!$B$14)),IF('Cash Flows'!$B$15="",0,EXP(-D8*'Cash Flows'!$B$15)*EXP(-'Inputs'!$B$18*'Cash Flows'!$B$15)),IF('Cash Flows'!$B$16="",0,EXP(-D8*'Cash Flows'!$B$16)*EXP(-'Inputs'!$B$18*'Cash Flows'!$B$16)),IF('Cash Flows'!$B$17="",0,EXP(-D8*'Cash Flows'!$B$17)*EXP(-'Inputs'!$B$18*'Cash Flows'!$B$17)),IF('Cash Flows'!$B$18="",0,EXP(-D8*'Cash Flows'!$B$18)*EXP(-'Inputs'!$B$18*'Cash Flows'!$B$18)),IF('Cash Flows'!$B$19="",0,EXP(-D8*'Cash Flows'!$B$19)*EXP(-'Inputs'!$B$18*'Cash Flows'!$B$19)),IF('Cash Flows'!$B$20="",0,EXP(-D8*'Cash Flows'!$B$20)*EXP(-'Inputs'!$B$18*'Cash Flows'!$B$20)),IF('Cash Flows'!$B$21="",0,EXP(-D8*'Cash Flows'!$B$21)*EXP(-'Inputs'!$B$18*'Cash Flows'!$B$21)),IF('Cash Flows'!$B$22="",0,EXP(-D8*'Cash Flows'!$B$22)*EXP(-'Inputs'!$B$18*'Cash Flows'!$B$22)),IF('Cash Flows'!$B$23="",0,EXP(-D8*'Cash Flows'!$B$23)*EXP(-'Inputs'!$B$18*'Cash Flows'!$B$23)),IF('Cash Flows'!$B$24="",0,EXP(-D8*'Cash Flows'!$B$24)*EXP(-'Inputs'!$B$18*'Cash Flows'!$B$24)),IF('Cash Flows'!$B$25="",0,EXP(-D8*'Cash Flows'!$B$25)*EXP(-'Inputs'!$B$18*'Cash Flows'!$B$25)),IF('Cash Flows'!$B$26="",0,EXP(-D8*'Cash Flows'!$B$26)*EXP(-'Inputs'!$B$18*'Cash Flows'!$B$26)),IF('Cash Flows'!$B$27="",0,EXP(-D8*'Cash Flows'!$B$27)*EXP(-'Inputs'!$B$18*'Cash Flows'!$B$27)),IF('Cash Flows'!$B$28="",0,EXP(-D8*'Cash Flows'!$B$28)*EXP(-'Inputs'!$B$18*'Cash Flows'!$B$28)),IF('Cash Flows'!$B$29="",0,EXP(-D8*'Cash Flows'!$B$29)*EXP(-'Inputs'!$B$18*'Cash Flows'!$B$29)),IF('Cash Flows'!$B$30="",0,EXP(-D8*'Cash Flows'!$B$30)*EXP(-'Inputs'!$B$18*'Cash Flows'!$B$30)),IF('Cash Flows'!$B$31="",0,EXP(-D8*'Cash Flows'!$B$31)*EXP(-'Inputs'!$B$18*'Cash Flows'!$B$31)),IF('Cash Flows'!$B$32="",0,EXP(-D8*'Cash Flows'!$B$32)*EXP(-'Inputs'!$B$18*'Cash Flows'!$B$32)),IF('Cash Flows'!$B$33="",0,EXP(-D8*'Cash Flows'!$B$33)*EXP(-'Inputs'!$B$18*'Cash Flows'!$B$33)),IF('Cash Flows'!$B$34="",0,EXP(-D8*'Cash Flows'!$B$34)*EXP(-'Inputs'!$B$18*'Cash Flows'!$B$34)),IF('Cash Flows'!$B$35="",0,EXP(-D8*'Cash Flows'!$B$35)*EXP(-'Inputs'!$B$18*'Cash Flows'!$B$35)),IF('Cash Flows'!$B$36="",0,EXP(-D8*'Cash Flows'!$B$36)*EXP(-'Inputs'!$B$18*'Cash Flows'!$B$36)),IF('Cash Flows'!$B$37="",0,EXP(-D8*'Cash Flows'!$B$37)*EXP(-'Inputs'!$B$18*'Cash Flows'!$B$37)),IF('Cash Flows'!$B$38="",0,EXP(-D8*'Cash Flows'!$B$38)*EXP(-'Inputs'!$B$18*'Cash Flows'!$B$38)),IF('Cash Flows'!$B$39="",0,EXP(-D8*'Cash Flows'!$B$39)*EXP(-'Inputs'!$B$18*'Cash Flows'!$B$39)),IF('Cash Flows'!$B$40="",0,EXP(-D8*'Cash Flows'!$B$40)*EXP(-'Inputs'!$B$18*'Cash Flows'!$B$40)),IF('Cash Flows'!$B$41="",0,EXP(-D8*'Cash Flows'!$B$41)*EXP(-'Inputs'!$B$18*'Cash Flows'!$B$41)),IF('Cash Flows'!$B$42="",0,EXP(-D8*'Cash Flows'!$B$42)*EXP(-'Inputs'!$B$18*'Cash Flows'!$B$42)),IF('Cash Flows'!$B$43="",0,EXP(-D8*'Cash Flows'!$B$43)*EXP(-'Inputs'!$B$18*'Cash Flows'!$B$43)),IF('Cash Flows'!$B$44="",0,EXP(-D8*'Cash Flows'!$B$44)*EXP(-'Inputs'!$B$18*'Cash Flows'!$B$44)),IF('Cash Flows'!$B$45="",0,EXP(-D8*'Cash Flows'!$B$45)*EXP(-'Inputs'!$B$18*'Cash Flows'!$B$45)))</x:f>
        <x:v>16.319707184162716</x:v>
      </x:c>
      <x:c r="I8" s="158" t="n">
        <x:f>SUM(IF('Cash Flows'!$B$6="",0,(EXP(-D8*'Cash Flows'!$C$6)-EXP(-D8*'Cash Flows'!$B$6))*EXP(-'Inputs'!$B$18*'Cash Flows'!$B$6)),IF('Cash Flows'!$B$7="",0,(EXP(-D8*'Cash Flows'!$C$7)-EXP(-D8*'Cash Flows'!$B$7))*EXP(-'Inputs'!$B$18*'Cash Flows'!$B$7)),IF('Cash Flows'!$B$8="",0,(EXP(-D8*'Cash Flows'!$C$8)-EXP(-D8*'Cash Flows'!$B$8))*EXP(-'Inputs'!$B$18*'Cash Flows'!$B$8)),IF('Cash Flows'!$B$9="",0,(EXP(-D8*'Cash Flows'!$C$9)-EXP(-D8*'Cash Flows'!$B$9))*EXP(-'Inputs'!$B$18*'Cash Flows'!$B$9)),IF('Cash Flows'!$B$10="",0,(EXP(-D8*'Cash Flows'!$C$10)-EXP(-D8*'Cash Flows'!$B$10))*EXP(-'Inputs'!$B$18*'Cash Flows'!$B$10)),IF('Cash Flows'!$B$11="",0,(EXP(-D8*'Cash Flows'!$C$11)-EXP(-D8*'Cash Flows'!$B$11))*EXP(-'Inputs'!$B$18*'Cash Flows'!$B$11)),IF('Cash Flows'!$B$12="",0,(EXP(-D8*'Cash Flows'!$C$12)-EXP(-D8*'Cash Flows'!$B$12))*EXP(-'Inputs'!$B$18*'Cash Flows'!$B$12)),IF('Cash Flows'!$B$13="",0,(EXP(-D8*'Cash Flows'!$C$13)-EXP(-D8*'Cash Flows'!$B$13))*EXP(-'Inputs'!$B$18*'Cash Flows'!$B$13)),IF('Cash Flows'!$B$14="",0,(EXP(-D8*'Cash Flows'!$C$14)-EXP(-D8*'Cash Flows'!$B$14))*EXP(-'Inputs'!$B$18*'Cash Flows'!$B$14)),IF('Cash Flows'!$B$15="",0,(EXP(-D8*'Cash Flows'!$C$15)-EXP(-D8*'Cash Flows'!$B$15))*EXP(-'Inputs'!$B$18*'Cash Flows'!$B$15)),IF('Cash Flows'!$B$16="",0,(EXP(-D8*'Cash Flows'!$C$16)-EXP(-D8*'Cash Flows'!$B$16))*EXP(-'Inputs'!$B$18*'Cash Flows'!$B$16)),IF('Cash Flows'!$B$17="",0,(EXP(-D8*'Cash Flows'!$C$17)-EXP(-D8*'Cash Flows'!$B$17))*EXP(-'Inputs'!$B$18*'Cash Flows'!$B$17)),IF('Cash Flows'!$B$18="",0,(EXP(-D8*'Cash Flows'!$C$18)-EXP(-D8*'Cash Flows'!$B$18))*EXP(-'Inputs'!$B$18*'Cash Flows'!$B$18)),IF('Cash Flows'!$B$19="",0,(EXP(-D8*'Cash Flows'!$C$19)-EXP(-D8*'Cash Flows'!$B$19))*EXP(-'Inputs'!$B$18*'Cash Flows'!$B$19)),IF('Cash Flows'!$B$20="",0,(EXP(-D8*'Cash Flows'!$C$20)-EXP(-D8*'Cash Flows'!$B$20))*EXP(-'Inputs'!$B$18*'Cash Flows'!$B$20)),IF('Cash Flows'!$B$21="",0,(EXP(-D8*'Cash Flows'!$C$21)-EXP(-D8*'Cash Flows'!$B$21))*EXP(-'Inputs'!$B$18*'Cash Flows'!$B$21)),IF('Cash Flows'!$B$22="",0,(EXP(-D8*'Cash Flows'!$C$22)-EXP(-D8*'Cash Flows'!$B$22))*EXP(-'Inputs'!$B$18*'Cash Flows'!$B$22)),IF('Cash Flows'!$B$23="",0,(EXP(-D8*'Cash Flows'!$C$23)-EXP(-D8*'Cash Flows'!$B$23))*EXP(-'Inputs'!$B$18*'Cash Flows'!$B$23)),IF('Cash Flows'!$B$24="",0,(EXP(-D8*'Cash Flows'!$C$24)-EXP(-D8*'Cash Flows'!$B$24))*EXP(-'Inputs'!$B$18*'Cash Flows'!$B$24)),IF('Cash Flows'!$B$25="",0,(EXP(-D8*'Cash Flows'!$C$25)-EXP(-D8*'Cash Flows'!$B$25))*EXP(-'Inputs'!$B$18*'Cash Flows'!$B$25)),IF('Cash Flows'!$B$26="",0,(EXP(-D8*'Cash Flows'!$C$26)-EXP(-D8*'Cash Flows'!$B$26))*EXP(-'Inputs'!$B$18*'Cash Flows'!$B$26)),IF('Cash Flows'!$B$27="",0,(EXP(-D8*'Cash Flows'!$C$27)-EXP(-D8*'Cash Flows'!$B$27))*EXP(-'Inputs'!$B$18*'Cash Flows'!$B$27)),IF('Cash Flows'!$B$28="",0,(EXP(-D8*'Cash Flows'!$C$28)-EXP(-D8*'Cash Flows'!$B$28))*EXP(-'Inputs'!$B$18*'Cash Flows'!$B$28)),IF('Cash Flows'!$B$29="",0,(EXP(-D8*'Cash Flows'!$C$29)-EXP(-D8*'Cash Flows'!$B$29))*EXP(-'Inputs'!$B$18*'Cash Flows'!$B$29)),IF('Cash Flows'!$B$30="",0,(EXP(-D8*'Cash Flows'!$C$30)-EXP(-D8*'Cash Flows'!$B$30))*EXP(-'Inputs'!$B$18*'Cash Flows'!$B$30)),IF('Cash Flows'!$B$31="",0,(EXP(-D8*'Cash Flows'!$C$31)-EXP(-D8*'Cash Flows'!$B$31))*EXP(-'Inputs'!$B$18*'Cash Flows'!$B$31)),IF('Cash Flows'!$B$32="",0,(EXP(-D8*'Cash Flows'!$C$32)-EXP(-D8*'Cash Flows'!$B$32))*EXP(-'Inputs'!$B$18*'Cash Flows'!$B$32)),IF('Cash Flows'!$B$33="",0,(EXP(-D8*'Cash Flows'!$C$33)-EXP(-D8*'Cash Flows'!$B$33))*EXP(-'Inputs'!$B$18*'Cash Flows'!$B$33)),IF('Cash Flows'!$B$34="",0,(EXP(-D8*'Cash Flows'!$C$34)-EXP(-D8*'Cash Flows'!$B$34))*EXP(-'Inputs'!$B$18*'Cash Flows'!$B$34)),IF('Cash Flows'!$B$35="",0,(EXP(-D8*'Cash Flows'!$C$35)-EXP(-D8*'Cash Flows'!$B$35))*EXP(-'Inputs'!$B$18*'Cash Flows'!$B$35)),IF('Cash Flows'!$B$36="",0,(EXP(-D8*'Cash Flows'!$C$36)-EXP(-D8*'Cash Flows'!$B$36))*EXP(-'Inputs'!$B$18*'Cash Flows'!$B$36)),IF('Cash Flows'!$B$37="",0,(EXP(-D8*'Cash Flows'!$C$37)-EXP(-D8*'Cash Flows'!$B$37))*EXP(-'Inputs'!$B$18*'Cash Flows'!$B$37)),IF('Cash Flows'!$B$38="",0,(EXP(-D8*'Cash Flows'!$C$38)-EXP(-D8*'Cash Flows'!$B$38))*EXP(-'Inputs'!$B$18*'Cash Flows'!$B$38)),IF('Cash Flows'!$B$39="",0,(EXP(-D8*'Cash Flows'!$C$39)-EXP(-D8*'Cash Flows'!$B$39))*EXP(-'Inputs'!$B$18*'Cash Flows'!$B$39)),IF('Cash Flows'!$B$40="",0,(EXP(-D8*'Cash Flows'!$C$40)-EXP(-D8*'Cash Flows'!$B$40))*EXP(-'Inputs'!$B$18*'Cash Flows'!$B$40)),IF('Cash Flows'!$B$41="",0,(EXP(-D8*'Cash Flows'!$C$41)-EXP(-D8*'Cash Flows'!$B$41))*EXP(-'Inputs'!$B$18*'Cash Flows'!$B$41)),IF('Cash Flows'!$B$42="",0,(EXP(-D8*'Cash Flows'!$C$42)-EXP(-D8*'Cash Flows'!$B$42))*EXP(-'Inputs'!$B$18*'Cash Flows'!$B$42)),IF('Cash Flows'!$B$43="",0,(EXP(-D8*'Cash Flows'!$C$43)-EXP(-D8*'Cash Flows'!$B$43))*EXP(-'Inputs'!$B$18*'Cash Flows'!$B$43)),IF('Cash Flows'!$B$44="",0,(EXP(-D8*'Cash Flows'!$C$44)-EXP(-D8*'Cash Flows'!$B$44))*EXP(-'Inputs'!$B$18*'Cash Flows'!$B$44)),IF('Cash Flows'!$B$45="",0,(EXP(-D8*'Cash Flows'!$C$45)-EXP(-D8*'Cash Flows'!$B$45))*EXP(-'Inputs'!$B$18*'Cash Flows'!$B$45)))</x:f>
        <x:v>0.15371667591697555</x:v>
      </x:c>
      <x:c r="J8" s="95" t="n">
        <x:v>0.3</x:v>
      </x:c>
      <x:c r="K8" s="159" t="n">
        <x:f>SUMIFS($F$6:$F$30,$B$6:$B$30,K$6,$C$6:$C$30,$J8)</x:f>
        <x:v>1.0847232074689555</x:v>
      </x:c>
      <x:c r="L8" s="159" t="n">
        <x:f>SUMIFS($F$6:$F$30,$B$6:$B$30,L$6,$C$6:$C$30,$J8)</x:f>
        <x:v>1.0391873105783844</x:v>
      </x:c>
      <x:c r="M8" s="159" t="n">
        <x:f>SUMIFS($F$6:$F$30,$B$6:$B$30,M$6,$C$6:$C$30,$J8)</x:f>
        <x:v>0.9965849235961234</x:v>
      </x:c>
      <x:c r="N8" s="159" t="n">
        <x:f>SUMIFS($F$6:$F$30,$B$6:$B$30,N$6,$C$6:$C$30,$J8)</x:f>
        <x:v>0.9567207578587371</x:v>
      </x:c>
      <x:c r="O8" s="159" t="n">
        <x:f>SUMIFS($F$6:$F$30,$B$6:$B$30,O$6,$C$6:$C$30,$J8)</x:f>
        <x:v>0.8844909404605491</x:v>
      </x:c>
    </x:row>
    <x:row r="9">
      <x:c r="A9" s="129" t="str">
        <x:v>S400 / R20</x:v>
      </x:c>
      <x:c r="B9" s="136" t="n">
        <x:v>0.04</x:v>
      </x:c>
      <x:c r="C9" s="136" t="n">
        <x:v>0.2</x:v>
      </x:c>
      <x:c r="D9" s="136" t="n">
        <x:f>IF(C9&lt;1,B9/(1-C9),0)</x:f>
        <x:v>0.049999999999999996</x:v>
      </x:c>
      <x:c r="E9" s="136" t="n">
        <x:f>1-EXP(-D9*'Inputs'!$B$10)</x:f>
        <x:v>0.22119921692859512</x:v>
      </x:c>
      <x:c r="F9" s="136" t="n">
        <x:f>'Inputs'!$B$35/'Inputs'!$B$9*H9+MAX(0,C9-IF('Inputs'!$B$6="REPACK",'Inputs'!$B$21,0))*I9+EXP(-D9*'Inputs'!$B$10)*EXP(-'Inputs'!$B$18*'Inputs'!$B$10)</x:f>
        <x:v>0.9564127932203248</x:v>
      </x:c>
      <x:c r="G9" s="136" t="n">
        <x:f>IF(H9&gt;0,IF('Inputs'!$B$6="CLN",('Inputs'!$B$11-MAX(0,C9-IF('Inputs'!$B$6="REPACK",'Inputs'!$B$21,0))*I9-EXP(-D9*'Inputs'!$B$10)*EXP(-'Inputs'!$B$18*'Inputs'!$B$10))/(H9/'Inputs'!$B$9),('Inputs'!$B$11-'Inputs'!$B$29+'Inputs'!$B$28/'Inputs'!$B$9*H9+C9*I9+EXP(-D9*'Inputs'!$B$10)*EXP(-'Inputs'!$B$18*'Inputs'!$B$10)-MAX(0,C9-IF('Inputs'!$B$6="REPACK",'Inputs'!$B$21,0))*I9-EXP(-D9*'Inputs'!$B$10)*EXP(-'Inputs'!$B$18*'Inputs'!$B$10)-('Inputs'!$B$30+'Inputs'!$B$31)/'Inputs'!$B$9*H9)/(H9/'Inputs'!$B$9)),"")</x:f>
        <x:v>0.08351506220454777</x:v>
      </x:c>
      <x:c r="H9" s="157" t="n">
        <x:f>SUM(IF('Cash Flows'!$B$6="",0,EXP(-D9*'Cash Flows'!$B$6)*EXP(-'Inputs'!$B$18*'Cash Flows'!$B$6)),IF('Cash Flows'!$B$7="",0,EXP(-D9*'Cash Flows'!$B$7)*EXP(-'Inputs'!$B$18*'Cash Flows'!$B$7)),IF('Cash Flows'!$B$8="",0,EXP(-D9*'Cash Flows'!$B$8)*EXP(-'Inputs'!$B$18*'Cash Flows'!$B$8)),IF('Cash Flows'!$B$9="",0,EXP(-D9*'Cash Flows'!$B$9)*EXP(-'Inputs'!$B$18*'Cash Flows'!$B$9)),IF('Cash Flows'!$B$10="",0,EXP(-D9*'Cash Flows'!$B$10)*EXP(-'Inputs'!$B$18*'Cash Flows'!$B$10)),IF('Cash Flows'!$B$11="",0,EXP(-D9*'Cash Flows'!$B$11)*EXP(-'Inputs'!$B$18*'Cash Flows'!$B$11)),IF('Cash Flows'!$B$12="",0,EXP(-D9*'Cash Flows'!$B$12)*EXP(-'Inputs'!$B$18*'Cash Flows'!$B$12)),IF('Cash Flows'!$B$13="",0,EXP(-D9*'Cash Flows'!$B$13)*EXP(-'Inputs'!$B$18*'Cash Flows'!$B$13)),IF('Cash Flows'!$B$14="",0,EXP(-D9*'Cash Flows'!$B$14)*EXP(-'Inputs'!$B$18*'Cash Flows'!$B$14)),IF('Cash Flows'!$B$15="",0,EXP(-D9*'Cash Flows'!$B$15)*EXP(-'Inputs'!$B$18*'Cash Flows'!$B$15)),IF('Cash Flows'!$B$16="",0,EXP(-D9*'Cash Flows'!$B$16)*EXP(-'Inputs'!$B$18*'Cash Flows'!$B$16)),IF('Cash Flows'!$B$17="",0,EXP(-D9*'Cash Flows'!$B$17)*EXP(-'Inputs'!$B$18*'Cash Flows'!$B$17)),IF('Cash Flows'!$B$18="",0,EXP(-D9*'Cash Flows'!$B$18)*EXP(-'Inputs'!$B$18*'Cash Flows'!$B$18)),IF('Cash Flows'!$B$19="",0,EXP(-D9*'Cash Flows'!$B$19)*EXP(-'Inputs'!$B$18*'Cash Flows'!$B$19)),IF('Cash Flows'!$B$20="",0,EXP(-D9*'Cash Flows'!$B$20)*EXP(-'Inputs'!$B$18*'Cash Flows'!$B$20)),IF('Cash Flows'!$B$21="",0,EXP(-D9*'Cash Flows'!$B$21)*EXP(-'Inputs'!$B$18*'Cash Flows'!$B$21)),IF('Cash Flows'!$B$22="",0,EXP(-D9*'Cash Flows'!$B$22)*EXP(-'Inputs'!$B$18*'Cash Flows'!$B$22)),IF('Cash Flows'!$B$23="",0,EXP(-D9*'Cash Flows'!$B$23)*EXP(-'Inputs'!$B$18*'Cash Flows'!$B$23)),IF('Cash Flows'!$B$24="",0,EXP(-D9*'Cash Flows'!$B$24)*EXP(-'Inputs'!$B$18*'Cash Flows'!$B$24)),IF('Cash Flows'!$B$25="",0,EXP(-D9*'Cash Flows'!$B$25)*EXP(-'Inputs'!$B$18*'Cash Flows'!$B$25)),IF('Cash Flows'!$B$26="",0,EXP(-D9*'Cash Flows'!$B$26)*EXP(-'Inputs'!$B$18*'Cash Flows'!$B$26)),IF('Cash Flows'!$B$27="",0,EXP(-D9*'Cash Flows'!$B$27)*EXP(-'Inputs'!$B$18*'Cash Flows'!$B$27)),IF('Cash Flows'!$B$28="",0,EXP(-D9*'Cash Flows'!$B$28)*EXP(-'Inputs'!$B$18*'Cash Flows'!$B$28)),IF('Cash Flows'!$B$29="",0,EXP(-D9*'Cash Flows'!$B$29)*EXP(-'Inputs'!$B$18*'Cash Flows'!$B$29)),IF('Cash Flows'!$B$30="",0,EXP(-D9*'Cash Flows'!$B$30)*EXP(-'Inputs'!$B$18*'Cash Flows'!$B$30)),IF('Cash Flows'!$B$31="",0,EXP(-D9*'Cash Flows'!$B$31)*EXP(-'Inputs'!$B$18*'Cash Flows'!$B$31)),IF('Cash Flows'!$B$32="",0,EXP(-D9*'Cash Flows'!$B$32)*EXP(-'Inputs'!$B$18*'Cash Flows'!$B$32)),IF('Cash Flows'!$B$33="",0,EXP(-D9*'Cash Flows'!$B$33)*EXP(-'Inputs'!$B$18*'Cash Flows'!$B$33)),IF('Cash Flows'!$B$34="",0,EXP(-D9*'Cash Flows'!$B$34)*EXP(-'Inputs'!$B$18*'Cash Flows'!$B$34)),IF('Cash Flows'!$B$35="",0,EXP(-D9*'Cash Flows'!$B$35)*EXP(-'Inputs'!$B$18*'Cash Flows'!$B$35)),IF('Cash Flows'!$B$36="",0,EXP(-D9*'Cash Flows'!$B$36)*EXP(-'Inputs'!$B$18*'Cash Flows'!$B$36)),IF('Cash Flows'!$B$37="",0,EXP(-D9*'Cash Flows'!$B$37)*EXP(-'Inputs'!$B$18*'Cash Flows'!$B$37)),IF('Cash Flows'!$B$38="",0,EXP(-D9*'Cash Flows'!$B$38)*EXP(-'Inputs'!$B$18*'Cash Flows'!$B$38)),IF('Cash Flows'!$B$39="",0,EXP(-D9*'Cash Flows'!$B$39)*EXP(-'Inputs'!$B$18*'Cash Flows'!$B$39)),IF('Cash Flows'!$B$40="",0,EXP(-D9*'Cash Flows'!$B$40)*EXP(-'Inputs'!$B$18*'Cash Flows'!$B$40)),IF('Cash Flows'!$B$41="",0,EXP(-D9*'Cash Flows'!$B$41)*EXP(-'Inputs'!$B$18*'Cash Flows'!$B$41)),IF('Cash Flows'!$B$42="",0,EXP(-D9*'Cash Flows'!$B$42)*EXP(-'Inputs'!$B$18*'Cash Flows'!$B$42)),IF('Cash Flows'!$B$43="",0,EXP(-D9*'Cash Flows'!$B$43)*EXP(-'Inputs'!$B$18*'Cash Flows'!$B$43)),IF('Cash Flows'!$B$44="",0,EXP(-D9*'Cash Flows'!$B$44)*EXP(-'Inputs'!$B$18*'Cash Flows'!$B$44)),IF('Cash Flows'!$B$45="",0,EXP(-D9*'Cash Flows'!$B$45)*EXP(-'Inputs'!$B$18*'Cash Flows'!$B$45)))</x:f>
        <x:v>15.828219930225917</x:v>
      </x:c>
      <x:c r="I9" s="158" t="n">
        <x:f>SUM(IF('Cash Flows'!$B$6="",0,(EXP(-D9*'Cash Flows'!$C$6)-EXP(-D9*'Cash Flows'!$B$6))*EXP(-'Inputs'!$B$18*'Cash Flows'!$B$6)),IF('Cash Flows'!$B$7="",0,(EXP(-D9*'Cash Flows'!$C$7)-EXP(-D9*'Cash Flows'!$B$7))*EXP(-'Inputs'!$B$18*'Cash Flows'!$B$7)),IF('Cash Flows'!$B$8="",0,(EXP(-D9*'Cash Flows'!$C$8)-EXP(-D9*'Cash Flows'!$B$8))*EXP(-'Inputs'!$B$18*'Cash Flows'!$B$8)),IF('Cash Flows'!$B$9="",0,(EXP(-D9*'Cash Flows'!$C$9)-EXP(-D9*'Cash Flows'!$B$9))*EXP(-'Inputs'!$B$18*'Cash Flows'!$B$9)),IF('Cash Flows'!$B$10="",0,(EXP(-D9*'Cash Flows'!$C$10)-EXP(-D9*'Cash Flows'!$B$10))*EXP(-'Inputs'!$B$18*'Cash Flows'!$B$10)),IF('Cash Flows'!$B$11="",0,(EXP(-D9*'Cash Flows'!$C$11)-EXP(-D9*'Cash Flows'!$B$11))*EXP(-'Inputs'!$B$18*'Cash Flows'!$B$11)),IF('Cash Flows'!$B$12="",0,(EXP(-D9*'Cash Flows'!$C$12)-EXP(-D9*'Cash Flows'!$B$12))*EXP(-'Inputs'!$B$18*'Cash Flows'!$B$12)),IF('Cash Flows'!$B$13="",0,(EXP(-D9*'Cash Flows'!$C$13)-EXP(-D9*'Cash Flows'!$B$13))*EXP(-'Inputs'!$B$18*'Cash Flows'!$B$13)),IF('Cash Flows'!$B$14="",0,(EXP(-D9*'Cash Flows'!$C$14)-EXP(-D9*'Cash Flows'!$B$14))*EXP(-'Inputs'!$B$18*'Cash Flows'!$B$14)),IF('Cash Flows'!$B$15="",0,(EXP(-D9*'Cash Flows'!$C$15)-EXP(-D9*'Cash Flows'!$B$15))*EXP(-'Inputs'!$B$18*'Cash Flows'!$B$15)),IF('Cash Flows'!$B$16="",0,(EXP(-D9*'Cash Flows'!$C$16)-EXP(-D9*'Cash Flows'!$B$16))*EXP(-'Inputs'!$B$18*'Cash Flows'!$B$16)),IF('Cash Flows'!$B$17="",0,(EXP(-D9*'Cash Flows'!$C$17)-EXP(-D9*'Cash Flows'!$B$17))*EXP(-'Inputs'!$B$18*'Cash Flows'!$B$17)),IF('Cash Flows'!$B$18="",0,(EXP(-D9*'Cash Flows'!$C$18)-EXP(-D9*'Cash Flows'!$B$18))*EXP(-'Inputs'!$B$18*'Cash Flows'!$B$18)),IF('Cash Flows'!$B$19="",0,(EXP(-D9*'Cash Flows'!$C$19)-EXP(-D9*'Cash Flows'!$B$19))*EXP(-'Inputs'!$B$18*'Cash Flows'!$B$19)),IF('Cash Flows'!$B$20="",0,(EXP(-D9*'Cash Flows'!$C$20)-EXP(-D9*'Cash Flows'!$B$20))*EXP(-'Inputs'!$B$18*'Cash Flows'!$B$20)),IF('Cash Flows'!$B$21="",0,(EXP(-D9*'Cash Flows'!$C$21)-EXP(-D9*'Cash Flows'!$B$21))*EXP(-'Inputs'!$B$18*'Cash Flows'!$B$21)),IF('Cash Flows'!$B$22="",0,(EXP(-D9*'Cash Flows'!$C$22)-EXP(-D9*'Cash Flows'!$B$22))*EXP(-'Inputs'!$B$18*'Cash Flows'!$B$22)),IF('Cash Flows'!$B$23="",0,(EXP(-D9*'Cash Flows'!$C$23)-EXP(-D9*'Cash Flows'!$B$23))*EXP(-'Inputs'!$B$18*'Cash Flows'!$B$23)),IF('Cash Flows'!$B$24="",0,(EXP(-D9*'Cash Flows'!$C$24)-EXP(-D9*'Cash Flows'!$B$24))*EXP(-'Inputs'!$B$18*'Cash Flows'!$B$24)),IF('Cash Flows'!$B$25="",0,(EXP(-D9*'Cash Flows'!$C$25)-EXP(-D9*'Cash Flows'!$B$25))*EXP(-'Inputs'!$B$18*'Cash Flows'!$B$25)),IF('Cash Flows'!$B$26="",0,(EXP(-D9*'Cash Flows'!$C$26)-EXP(-D9*'Cash Flows'!$B$26))*EXP(-'Inputs'!$B$18*'Cash Flows'!$B$26)),IF('Cash Flows'!$B$27="",0,(EXP(-D9*'Cash Flows'!$C$27)-EXP(-D9*'Cash Flows'!$B$27))*EXP(-'Inputs'!$B$18*'Cash Flows'!$B$27)),IF('Cash Flows'!$B$28="",0,(EXP(-D9*'Cash Flows'!$C$28)-EXP(-D9*'Cash Flows'!$B$28))*EXP(-'Inputs'!$B$18*'Cash Flows'!$B$28)),IF('Cash Flows'!$B$29="",0,(EXP(-D9*'Cash Flows'!$C$29)-EXP(-D9*'Cash Flows'!$B$29))*EXP(-'Inputs'!$B$18*'Cash Flows'!$B$29)),IF('Cash Flows'!$B$30="",0,(EXP(-D9*'Cash Flows'!$C$30)-EXP(-D9*'Cash Flows'!$B$30))*EXP(-'Inputs'!$B$18*'Cash Flows'!$B$30)),IF('Cash Flows'!$B$31="",0,(EXP(-D9*'Cash Flows'!$C$31)-EXP(-D9*'Cash Flows'!$B$31))*EXP(-'Inputs'!$B$18*'Cash Flows'!$B$31)),IF('Cash Flows'!$B$32="",0,(EXP(-D9*'Cash Flows'!$C$32)-EXP(-D9*'Cash Flows'!$B$32))*EXP(-'Inputs'!$B$18*'Cash Flows'!$B$32)),IF('Cash Flows'!$B$33="",0,(EXP(-D9*'Cash Flows'!$C$33)-EXP(-D9*'Cash Flows'!$B$33))*EXP(-'Inputs'!$B$18*'Cash Flows'!$B$33)),IF('Cash Flows'!$B$34="",0,(EXP(-D9*'Cash Flows'!$C$34)-EXP(-D9*'Cash Flows'!$B$34))*EXP(-'Inputs'!$B$18*'Cash Flows'!$B$34)),IF('Cash Flows'!$B$35="",0,(EXP(-D9*'Cash Flows'!$C$35)-EXP(-D9*'Cash Flows'!$B$35))*EXP(-'Inputs'!$B$18*'Cash Flows'!$B$35)),IF('Cash Flows'!$B$36="",0,(EXP(-D9*'Cash Flows'!$C$36)-EXP(-D9*'Cash Flows'!$B$36))*EXP(-'Inputs'!$B$18*'Cash Flows'!$B$36)),IF('Cash Flows'!$B$37="",0,(EXP(-D9*'Cash Flows'!$C$37)-EXP(-D9*'Cash Flows'!$B$37))*EXP(-'Inputs'!$B$18*'Cash Flows'!$B$37)),IF('Cash Flows'!$B$38="",0,(EXP(-D9*'Cash Flows'!$C$38)-EXP(-D9*'Cash Flows'!$B$38))*EXP(-'Inputs'!$B$18*'Cash Flows'!$B$38)),IF('Cash Flows'!$B$39="",0,(EXP(-D9*'Cash Flows'!$C$39)-EXP(-D9*'Cash Flows'!$B$39))*EXP(-'Inputs'!$B$18*'Cash Flows'!$B$39)),IF('Cash Flows'!$B$40="",0,(EXP(-D9*'Cash Flows'!$C$40)-EXP(-D9*'Cash Flows'!$B$40))*EXP(-'Inputs'!$B$18*'Cash Flows'!$B$40)),IF('Cash Flows'!$B$41="",0,(EXP(-D9*'Cash Flows'!$C$41)-EXP(-D9*'Cash Flows'!$B$41))*EXP(-'Inputs'!$B$18*'Cash Flows'!$B$41)),IF('Cash Flows'!$B$42="",0,(EXP(-D9*'Cash Flows'!$C$42)-EXP(-D9*'Cash Flows'!$B$42))*EXP(-'Inputs'!$B$18*'Cash Flows'!$B$42)),IF('Cash Flows'!$B$43="",0,(EXP(-D9*'Cash Flows'!$C$43)-EXP(-D9*'Cash Flows'!$B$43))*EXP(-'Inputs'!$B$18*'Cash Flows'!$B$43)),IF('Cash Flows'!$B$44="",0,(EXP(-D9*'Cash Flows'!$C$44)-EXP(-D9*'Cash Flows'!$B$44))*EXP(-'Inputs'!$B$18*'Cash Flows'!$B$44)),IF('Cash Flows'!$B$45="",0,(EXP(-D9*'Cash Flows'!$C$45)-EXP(-D9*'Cash Flows'!$B$45))*EXP(-'Inputs'!$B$18*'Cash Flows'!$B$45)))</x:f>
        <x:v>0.19909449736684987</x:v>
      </x:c>
      <x:c r="J9" s="95" t="n">
        <x:v>0.4</x:v>
      </x:c>
      <x:c r="K9" s="159" t="n">
        <x:f>SUMIFS($F$6:$F$30,$B$6:$B$30,K$6,$C$6:$C$30,$J9)</x:f>
        <x:v>1.0840969511642595</x:v>
      </x:c>
      <x:c r="L9" s="159" t="n">
        <x:f>SUMIFS($F$6:$F$30,$B$6:$B$30,L$6,$C$6:$C$30,$J9)</x:f>
        <x:v>1.0384679744472636</x:v>
      </x:c>
      <x:c r="M9" s="159" t="n">
        <x:f>SUMIFS($F$6:$F$30,$B$6:$B$30,M$6,$C$6:$C$30,$J9)</x:f>
        <x:v>0.9962316926936947</x:v>
      </x:c>
      <x:c r="N9" s="159" t="n">
        <x:f>SUMIFS($F$6:$F$30,$B$6:$B$30,N$6,$C$6:$C$30,$J9)</x:f>
        <x:v>0.9571268465986791</x:v>
      </x:c>
      <x:c r="O9" s="159" t="n">
        <x:f>SUMIFS($F$6:$F$30,$B$6:$B$30,O$6,$C$6:$C$30,$J9)</x:f>
        <x:v>0.887366900120558</x:v>
      </x:c>
    </x:row>
    <x:row r="10">
      <x:c r="A10" s="129" t="str">
        <x:v>S600 / R20</x:v>
      </x:c>
      <x:c r="B10" s="136" t="n">
        <x:v>0.06</x:v>
      </x:c>
      <x:c r="C10" s="136" t="n">
        <x:v>0.2</x:v>
      </x:c>
      <x:c r="D10" s="136" t="n">
        <x:f>IF(C10&lt;1,B10/(1-C10),0)</x:f>
        <x:v>0.075</x:v>
      </x:c>
      <x:c r="E10" s="136" t="n">
        <x:f>1-EXP(-D10*'Inputs'!$B$10)</x:f>
        <x:v>0.3127107212090279</x:v>
      </x:c>
      <x:c r="F10" s="136" t="n">
        <x:f>'Inputs'!$B$35/'Inputs'!$B$9*H10+MAX(0,C10-IF('Inputs'!$B$6="REPACK",'Inputs'!$B$21,0))*I10+EXP(-D10*'Inputs'!$B$10)*EXP(-'Inputs'!$B$18*'Inputs'!$B$10)</x:f>
        <x:v>0.8822571544682982</x:v>
      </x:c>
      <x:c r="G10" s="136" t="n">
        <x:f>IF(H10&gt;0,IF('Inputs'!$B$6="CLN",('Inputs'!$B$11-MAX(0,C10-IF('Inputs'!$B$6="REPACK",'Inputs'!$B$21,0))*I10-EXP(-D10*'Inputs'!$B$10)*EXP(-'Inputs'!$B$18*'Inputs'!$B$10))/(H10/'Inputs'!$B$9),('Inputs'!$B$11-'Inputs'!$B$29+'Inputs'!$B$28/'Inputs'!$B$9*H10+C10*I10+EXP(-D10*'Inputs'!$B$10)*EXP(-'Inputs'!$B$18*'Inputs'!$B$10)-MAX(0,C10-IF('Inputs'!$B$6="REPACK",'Inputs'!$B$21,0))*I10-EXP(-D10*'Inputs'!$B$10)*EXP(-'Inputs'!$B$18*'Inputs'!$B$10)-('Inputs'!$B$30+'Inputs'!$B$31)/'Inputs'!$B$9*H10)/(H10/'Inputs'!$B$9)),"")</x:f>
        <x:v>0.10410129631247628</x:v>
      </x:c>
      <x:c r="H10" s="157" t="n">
        <x:f>SUM(IF('Cash Flows'!$B$6="",0,EXP(-D10*'Cash Flows'!$B$6)*EXP(-'Inputs'!$B$18*'Cash Flows'!$B$6)),IF('Cash Flows'!$B$7="",0,EXP(-D10*'Cash Flows'!$B$7)*EXP(-'Inputs'!$B$18*'Cash Flows'!$B$7)),IF('Cash Flows'!$B$8="",0,EXP(-D10*'Cash Flows'!$B$8)*EXP(-'Inputs'!$B$18*'Cash Flows'!$B$8)),IF('Cash Flows'!$B$9="",0,EXP(-D10*'Cash Flows'!$B$9)*EXP(-'Inputs'!$B$18*'Cash Flows'!$B$9)),IF('Cash Flows'!$B$10="",0,EXP(-D10*'Cash Flows'!$B$10)*EXP(-'Inputs'!$B$18*'Cash Flows'!$B$10)),IF('Cash Flows'!$B$11="",0,EXP(-D10*'Cash Flows'!$B$11)*EXP(-'Inputs'!$B$18*'Cash Flows'!$B$11)),IF('Cash Flows'!$B$12="",0,EXP(-D10*'Cash Flows'!$B$12)*EXP(-'Inputs'!$B$18*'Cash Flows'!$B$12)),IF('Cash Flows'!$B$13="",0,EXP(-D10*'Cash Flows'!$B$13)*EXP(-'Inputs'!$B$18*'Cash Flows'!$B$13)),IF('Cash Flows'!$B$14="",0,EXP(-D10*'Cash Flows'!$B$14)*EXP(-'Inputs'!$B$18*'Cash Flows'!$B$14)),IF('Cash Flows'!$B$15="",0,EXP(-D10*'Cash Flows'!$B$15)*EXP(-'Inputs'!$B$18*'Cash Flows'!$B$15)),IF('Cash Flows'!$B$16="",0,EXP(-D10*'Cash Flows'!$B$16)*EXP(-'Inputs'!$B$18*'Cash Flows'!$B$16)),IF('Cash Flows'!$B$17="",0,EXP(-D10*'Cash Flows'!$B$17)*EXP(-'Inputs'!$B$18*'Cash Flows'!$B$17)),IF('Cash Flows'!$B$18="",0,EXP(-D10*'Cash Flows'!$B$18)*EXP(-'Inputs'!$B$18*'Cash Flows'!$B$18)),IF('Cash Flows'!$B$19="",0,EXP(-D10*'Cash Flows'!$B$19)*EXP(-'Inputs'!$B$18*'Cash Flows'!$B$19)),IF('Cash Flows'!$B$20="",0,EXP(-D10*'Cash Flows'!$B$20)*EXP(-'Inputs'!$B$18*'Cash Flows'!$B$20)),IF('Cash Flows'!$B$21="",0,EXP(-D10*'Cash Flows'!$B$21)*EXP(-'Inputs'!$B$18*'Cash Flows'!$B$21)),IF('Cash Flows'!$B$22="",0,EXP(-D10*'Cash Flows'!$B$22)*EXP(-'Inputs'!$B$18*'Cash Flows'!$B$22)),IF('Cash Flows'!$B$23="",0,EXP(-D10*'Cash Flows'!$B$23)*EXP(-'Inputs'!$B$18*'Cash Flows'!$B$23)),IF('Cash Flows'!$B$24="",0,EXP(-D10*'Cash Flows'!$B$24)*EXP(-'Inputs'!$B$18*'Cash Flows'!$B$24)),IF('Cash Flows'!$B$25="",0,EXP(-D10*'Cash Flows'!$B$25)*EXP(-'Inputs'!$B$18*'Cash Flows'!$B$25)),IF('Cash Flows'!$B$26="",0,EXP(-D10*'Cash Flows'!$B$26)*EXP(-'Inputs'!$B$18*'Cash Flows'!$B$26)),IF('Cash Flows'!$B$27="",0,EXP(-D10*'Cash Flows'!$B$27)*EXP(-'Inputs'!$B$18*'Cash Flows'!$B$27)),IF('Cash Flows'!$B$28="",0,EXP(-D10*'Cash Flows'!$B$28)*EXP(-'Inputs'!$B$18*'Cash Flows'!$B$28)),IF('Cash Flows'!$B$29="",0,EXP(-D10*'Cash Flows'!$B$29)*EXP(-'Inputs'!$B$18*'Cash Flows'!$B$29)),IF('Cash Flows'!$B$30="",0,EXP(-D10*'Cash Flows'!$B$30)*EXP(-'Inputs'!$B$18*'Cash Flows'!$B$30)),IF('Cash Flows'!$B$31="",0,EXP(-D10*'Cash Flows'!$B$31)*EXP(-'Inputs'!$B$18*'Cash Flows'!$B$31)),IF('Cash Flows'!$B$32="",0,EXP(-D10*'Cash Flows'!$B$32)*EXP(-'Inputs'!$B$18*'Cash Flows'!$B$32)),IF('Cash Flows'!$B$33="",0,EXP(-D10*'Cash Flows'!$B$33)*EXP(-'Inputs'!$B$18*'Cash Flows'!$B$33)),IF('Cash Flows'!$B$34="",0,EXP(-D10*'Cash Flows'!$B$34)*EXP(-'Inputs'!$B$18*'Cash Flows'!$B$34)),IF('Cash Flows'!$B$35="",0,EXP(-D10*'Cash Flows'!$B$35)*EXP(-'Inputs'!$B$18*'Cash Flows'!$B$35)),IF('Cash Flows'!$B$36="",0,EXP(-D10*'Cash Flows'!$B$36)*EXP(-'Inputs'!$B$18*'Cash Flows'!$B$36)),IF('Cash Flows'!$B$37="",0,EXP(-D10*'Cash Flows'!$B$37)*EXP(-'Inputs'!$B$18*'Cash Flows'!$B$37)),IF('Cash Flows'!$B$38="",0,EXP(-D10*'Cash Flows'!$B$38)*EXP(-'Inputs'!$B$18*'Cash Flows'!$B$38)),IF('Cash Flows'!$B$39="",0,EXP(-D10*'Cash Flows'!$B$39)*EXP(-'Inputs'!$B$18*'Cash Flows'!$B$39)),IF('Cash Flows'!$B$40="",0,EXP(-D10*'Cash Flows'!$B$40)*EXP(-'Inputs'!$B$18*'Cash Flows'!$B$40)),IF('Cash Flows'!$B$41="",0,EXP(-D10*'Cash Flows'!$B$41)*EXP(-'Inputs'!$B$18*'Cash Flows'!$B$41)),IF('Cash Flows'!$B$42="",0,EXP(-D10*'Cash Flows'!$B$42)*EXP(-'Inputs'!$B$18*'Cash Flows'!$B$42)),IF('Cash Flows'!$B$43="",0,EXP(-D10*'Cash Flows'!$B$43)*EXP(-'Inputs'!$B$18*'Cash Flows'!$B$43)),IF('Cash Flows'!$B$44="",0,EXP(-D10*'Cash Flows'!$B$44)*EXP(-'Inputs'!$B$18*'Cash Flows'!$B$44)),IF('Cash Flows'!$B$45="",0,EXP(-D10*'Cash Flows'!$B$45)*EXP(-'Inputs'!$B$18*'Cash Flows'!$B$45)))</x:f>
        <x:v>14.90354628081716</x:v>
      </x:c>
      <x:c r="I10" s="158" t="n">
        <x:f>SUM(IF('Cash Flows'!$B$6="",0,(EXP(-D10*'Cash Flows'!$C$6)-EXP(-D10*'Cash Flows'!$B$6))*EXP(-'Inputs'!$B$18*'Cash Flows'!$B$6)),IF('Cash Flows'!$B$7="",0,(EXP(-D10*'Cash Flows'!$C$7)-EXP(-D10*'Cash Flows'!$B$7))*EXP(-'Inputs'!$B$18*'Cash Flows'!$B$7)),IF('Cash Flows'!$B$8="",0,(EXP(-D10*'Cash Flows'!$C$8)-EXP(-D10*'Cash Flows'!$B$8))*EXP(-'Inputs'!$B$18*'Cash Flows'!$B$8)),IF('Cash Flows'!$B$9="",0,(EXP(-D10*'Cash Flows'!$C$9)-EXP(-D10*'Cash Flows'!$B$9))*EXP(-'Inputs'!$B$18*'Cash Flows'!$B$9)),IF('Cash Flows'!$B$10="",0,(EXP(-D10*'Cash Flows'!$C$10)-EXP(-D10*'Cash Flows'!$B$10))*EXP(-'Inputs'!$B$18*'Cash Flows'!$B$10)),IF('Cash Flows'!$B$11="",0,(EXP(-D10*'Cash Flows'!$C$11)-EXP(-D10*'Cash Flows'!$B$11))*EXP(-'Inputs'!$B$18*'Cash Flows'!$B$11)),IF('Cash Flows'!$B$12="",0,(EXP(-D10*'Cash Flows'!$C$12)-EXP(-D10*'Cash Flows'!$B$12))*EXP(-'Inputs'!$B$18*'Cash Flows'!$B$12)),IF('Cash Flows'!$B$13="",0,(EXP(-D10*'Cash Flows'!$C$13)-EXP(-D10*'Cash Flows'!$B$13))*EXP(-'Inputs'!$B$18*'Cash Flows'!$B$13)),IF('Cash Flows'!$B$14="",0,(EXP(-D10*'Cash Flows'!$C$14)-EXP(-D10*'Cash Flows'!$B$14))*EXP(-'Inputs'!$B$18*'Cash Flows'!$B$14)),IF('Cash Flows'!$B$15="",0,(EXP(-D10*'Cash Flows'!$C$15)-EXP(-D10*'Cash Flows'!$B$15))*EXP(-'Inputs'!$B$18*'Cash Flows'!$B$15)),IF('Cash Flows'!$B$16="",0,(EXP(-D10*'Cash Flows'!$C$16)-EXP(-D10*'Cash Flows'!$B$16))*EXP(-'Inputs'!$B$18*'Cash Flows'!$B$16)),IF('Cash Flows'!$B$17="",0,(EXP(-D10*'Cash Flows'!$C$17)-EXP(-D10*'Cash Flows'!$B$17))*EXP(-'Inputs'!$B$18*'Cash Flows'!$B$17)),IF('Cash Flows'!$B$18="",0,(EXP(-D10*'Cash Flows'!$C$18)-EXP(-D10*'Cash Flows'!$B$18))*EXP(-'Inputs'!$B$18*'Cash Flows'!$B$18)),IF('Cash Flows'!$B$19="",0,(EXP(-D10*'Cash Flows'!$C$19)-EXP(-D10*'Cash Flows'!$B$19))*EXP(-'Inputs'!$B$18*'Cash Flows'!$B$19)),IF('Cash Flows'!$B$20="",0,(EXP(-D10*'Cash Flows'!$C$20)-EXP(-D10*'Cash Flows'!$B$20))*EXP(-'Inputs'!$B$18*'Cash Flows'!$B$20)),IF('Cash Flows'!$B$21="",0,(EXP(-D10*'Cash Flows'!$C$21)-EXP(-D10*'Cash Flows'!$B$21))*EXP(-'Inputs'!$B$18*'Cash Flows'!$B$21)),IF('Cash Flows'!$B$22="",0,(EXP(-D10*'Cash Flows'!$C$22)-EXP(-D10*'Cash Flows'!$B$22))*EXP(-'Inputs'!$B$18*'Cash Flows'!$B$22)),IF('Cash Flows'!$B$23="",0,(EXP(-D10*'Cash Flows'!$C$23)-EXP(-D10*'Cash Flows'!$B$23))*EXP(-'Inputs'!$B$18*'Cash Flows'!$B$23)),IF('Cash Flows'!$B$24="",0,(EXP(-D10*'Cash Flows'!$C$24)-EXP(-D10*'Cash Flows'!$B$24))*EXP(-'Inputs'!$B$18*'Cash Flows'!$B$24)),IF('Cash Flows'!$B$25="",0,(EXP(-D10*'Cash Flows'!$C$25)-EXP(-D10*'Cash Flows'!$B$25))*EXP(-'Inputs'!$B$18*'Cash Flows'!$B$25)),IF('Cash Flows'!$B$26="",0,(EXP(-D10*'Cash Flows'!$C$26)-EXP(-D10*'Cash Flows'!$B$26))*EXP(-'Inputs'!$B$18*'Cash Flows'!$B$26)),IF('Cash Flows'!$B$27="",0,(EXP(-D10*'Cash Flows'!$C$27)-EXP(-D10*'Cash Flows'!$B$27))*EXP(-'Inputs'!$B$18*'Cash Flows'!$B$27)),IF('Cash Flows'!$B$28="",0,(EXP(-D10*'Cash Flows'!$C$28)-EXP(-D10*'Cash Flows'!$B$28))*EXP(-'Inputs'!$B$18*'Cash Flows'!$B$28)),IF('Cash Flows'!$B$29="",0,(EXP(-D10*'Cash Flows'!$C$29)-EXP(-D10*'Cash Flows'!$B$29))*EXP(-'Inputs'!$B$18*'Cash Flows'!$B$29)),IF('Cash Flows'!$B$30="",0,(EXP(-D10*'Cash Flows'!$C$30)-EXP(-D10*'Cash Flows'!$B$30))*EXP(-'Inputs'!$B$18*'Cash Flows'!$B$30)),IF('Cash Flows'!$B$31="",0,(EXP(-D10*'Cash Flows'!$C$31)-EXP(-D10*'Cash Flows'!$B$31))*EXP(-'Inputs'!$B$18*'Cash Flows'!$B$31)),IF('Cash Flows'!$B$32="",0,(EXP(-D10*'Cash Flows'!$C$32)-EXP(-D10*'Cash Flows'!$B$32))*EXP(-'Inputs'!$B$18*'Cash Flows'!$B$32)),IF('Cash Flows'!$B$33="",0,(EXP(-D10*'Cash Flows'!$C$33)-EXP(-D10*'Cash Flows'!$B$33))*EXP(-'Inputs'!$B$18*'Cash Flows'!$B$33)),IF('Cash Flows'!$B$34="",0,(EXP(-D10*'Cash Flows'!$C$34)-EXP(-D10*'Cash Flows'!$B$34))*EXP(-'Inputs'!$B$18*'Cash Flows'!$B$34)),IF('Cash Flows'!$B$35="",0,(EXP(-D10*'Cash Flows'!$C$35)-EXP(-D10*'Cash Flows'!$B$35))*EXP(-'Inputs'!$B$18*'Cash Flows'!$B$35)),IF('Cash Flows'!$B$36="",0,(EXP(-D10*'Cash Flows'!$C$36)-EXP(-D10*'Cash Flows'!$B$36))*EXP(-'Inputs'!$B$18*'Cash Flows'!$B$36)),IF('Cash Flows'!$B$37="",0,(EXP(-D10*'Cash Flows'!$C$37)-EXP(-D10*'Cash Flows'!$B$37))*EXP(-'Inputs'!$B$18*'Cash Flows'!$B$37)),IF('Cash Flows'!$B$38="",0,(EXP(-D10*'Cash Flows'!$C$38)-EXP(-D10*'Cash Flows'!$B$38))*EXP(-'Inputs'!$B$18*'Cash Flows'!$B$38)),IF('Cash Flows'!$B$39="",0,(EXP(-D10*'Cash Flows'!$C$39)-EXP(-D10*'Cash Flows'!$B$39))*EXP(-'Inputs'!$B$18*'Cash Flows'!$B$39)),IF('Cash Flows'!$B$40="",0,(EXP(-D10*'Cash Flows'!$C$40)-EXP(-D10*'Cash Flows'!$B$40))*EXP(-'Inputs'!$B$18*'Cash Flows'!$B$40)),IF('Cash Flows'!$B$41="",0,(EXP(-D10*'Cash Flows'!$C$41)-EXP(-D10*'Cash Flows'!$B$41))*EXP(-'Inputs'!$B$18*'Cash Flows'!$B$41)),IF('Cash Flows'!$B$42="",0,(EXP(-D10*'Cash Flows'!$C$42)-EXP(-D10*'Cash Flows'!$B$42))*EXP(-'Inputs'!$B$18*'Cash Flows'!$B$42)),IF('Cash Flows'!$B$43="",0,(EXP(-D10*'Cash Flows'!$C$43)-EXP(-D10*'Cash Flows'!$B$43))*EXP(-'Inputs'!$B$18*'Cash Flows'!$B$43)),IF('Cash Flows'!$B$44="",0,(EXP(-D10*'Cash Flows'!$C$44)-EXP(-D10*'Cash Flows'!$B$44))*EXP(-'Inputs'!$B$18*'Cash Flows'!$B$44)),IF('Cash Flows'!$B$45="",0,(EXP(-D10*'Cash Flows'!$C$45)-EXP(-D10*'Cash Flows'!$B$45))*EXP(-'Inputs'!$B$18*'Cash Flows'!$B$45)))</x:f>
        <x:v>0.2820777073245793</x:v>
      </x:c>
      <x:c r="J10" s="95" t="n">
        <x:v>0.5</x:v>
      </x:c>
      <x:c r="K10" s="159" t="n">
        <x:f>SUMIFS($F$6:$F$30,$B$6:$B$30,K$6,$C$6:$C$30,$J10)</x:f>
        <x:v>1.0832291874515714</x:v>
      </x:c>
      <x:c r="L10" s="159" t="n">
        <x:f>SUMIFS($F$6:$F$30,$B$6:$B$30,L$6,$C$6:$C$30,$J10)</x:f>
        <x:v>1.0374826019942738</x:v>
      </x:c>
      <x:c r="M10" s="159" t="n">
        <x:f>SUMIFS($F$6:$F$30,$B$6:$B$30,M$6,$C$6:$C$30,$J10)</x:f>
        <x:v>0.9957574653113175</x:v>
      </x:c>
      <x:c r="N10" s="159" t="n">
        <x:f>SUMIFS($F$6:$F$30,$B$6:$B$30,N$6,$C$6:$C$30,$J10)</x:f>
        <x:v>0.9576865510571327</x:v>
      </x:c>
      <x:c r="O10" s="159" t="n">
        <x:f>SUMIFS($F$6:$F$30,$B$6:$B$30,O$6,$C$6:$C$30,$J10)</x:f>
        <x:v>0.8912056815173195</x:v>
      </x:c>
    </x:row>
    <x:row r="11">
      <x:c r="A11" s="129" t="str">
        <x:v>S100 / R30</x:v>
      </x:c>
      <x:c r="B11" s="136" t="n">
        <x:v>0.01</x:v>
      </x:c>
      <x:c r="C11" s="136" t="n">
        <x:v>0.3</x:v>
      </x:c>
      <x:c r="D11" s="136" t="n">
        <x:f>IF(C11&lt;1,B11/(1-C11),0)</x:f>
        <x:v>0.014285714285714287</x:v>
      </x:c>
      <x:c r="E11" s="136" t="n">
        <x:f>1-EXP(-D11*'Inputs'!$B$10)</x:f>
        <x:v>0.06893722029597726</x:v>
      </x:c>
      <x:c r="F11" s="136" t="n">
        <x:f>'Inputs'!$B$35/'Inputs'!$B$9*H11+MAX(0,C11-IF('Inputs'!$B$6="REPACK",'Inputs'!$B$21,0))*I11+EXP(-D11*'Inputs'!$B$10)*EXP(-'Inputs'!$B$18*'Inputs'!$B$10)</x:f>
        <x:v>1.0847232074689555</x:v>
      </x:c>
      <x:c r="G11" s="136" t="n">
        <x:f>IF(H11&gt;0,IF('Inputs'!$B$6="CLN",('Inputs'!$B$11-MAX(0,C11-IF('Inputs'!$B$6="REPACK",'Inputs'!$B$21,0))*I11-EXP(-D11*'Inputs'!$B$10)*EXP(-'Inputs'!$B$18*'Inputs'!$B$10))/(H11/'Inputs'!$B$9),('Inputs'!$B$11-'Inputs'!$B$29+'Inputs'!$B$28/'Inputs'!$B$9*H11+C11*I11+EXP(-D11*'Inputs'!$B$10)*EXP(-'Inputs'!$B$18*'Inputs'!$B$10)-MAX(0,C11-IF('Inputs'!$B$6="REPACK",'Inputs'!$B$21,0))*I11-EXP(-D11*'Inputs'!$B$10)*EXP(-'Inputs'!$B$18*'Inputs'!$B$10)-('Inputs'!$B$30+'Inputs'!$B$31)/'Inputs'!$B$9*H11)/(H11/'Inputs'!$B$9)),"")</x:f>
        <x:v>0.05289732919585842</x:v>
      </x:c>
      <x:c r="H11" s="157" t="n">
        <x:f>SUM(IF('Cash Flows'!$B$6="",0,EXP(-D11*'Cash Flows'!$B$6)*EXP(-'Inputs'!$B$18*'Cash Flows'!$B$6)),IF('Cash Flows'!$B$7="",0,EXP(-D11*'Cash Flows'!$B$7)*EXP(-'Inputs'!$B$18*'Cash Flows'!$B$7)),IF('Cash Flows'!$B$8="",0,EXP(-D11*'Cash Flows'!$B$8)*EXP(-'Inputs'!$B$18*'Cash Flows'!$B$8)),IF('Cash Flows'!$B$9="",0,EXP(-D11*'Cash Flows'!$B$9)*EXP(-'Inputs'!$B$18*'Cash Flows'!$B$9)),IF('Cash Flows'!$B$10="",0,EXP(-D11*'Cash Flows'!$B$10)*EXP(-'Inputs'!$B$18*'Cash Flows'!$B$10)),IF('Cash Flows'!$B$11="",0,EXP(-D11*'Cash Flows'!$B$11)*EXP(-'Inputs'!$B$18*'Cash Flows'!$B$11)),IF('Cash Flows'!$B$12="",0,EXP(-D11*'Cash Flows'!$B$12)*EXP(-'Inputs'!$B$18*'Cash Flows'!$B$12)),IF('Cash Flows'!$B$13="",0,EXP(-D11*'Cash Flows'!$B$13)*EXP(-'Inputs'!$B$18*'Cash Flows'!$B$13)),IF('Cash Flows'!$B$14="",0,EXP(-D11*'Cash Flows'!$B$14)*EXP(-'Inputs'!$B$18*'Cash Flows'!$B$14)),IF('Cash Flows'!$B$15="",0,EXP(-D11*'Cash Flows'!$B$15)*EXP(-'Inputs'!$B$18*'Cash Flows'!$B$15)),IF('Cash Flows'!$B$16="",0,EXP(-D11*'Cash Flows'!$B$16)*EXP(-'Inputs'!$B$18*'Cash Flows'!$B$16)),IF('Cash Flows'!$B$17="",0,EXP(-D11*'Cash Flows'!$B$17)*EXP(-'Inputs'!$B$18*'Cash Flows'!$B$17)),IF('Cash Flows'!$B$18="",0,EXP(-D11*'Cash Flows'!$B$18)*EXP(-'Inputs'!$B$18*'Cash Flows'!$B$18)),IF('Cash Flows'!$B$19="",0,EXP(-D11*'Cash Flows'!$B$19)*EXP(-'Inputs'!$B$18*'Cash Flows'!$B$19)),IF('Cash Flows'!$B$20="",0,EXP(-D11*'Cash Flows'!$B$20)*EXP(-'Inputs'!$B$18*'Cash Flows'!$B$20)),IF('Cash Flows'!$B$21="",0,EXP(-D11*'Cash Flows'!$B$21)*EXP(-'Inputs'!$B$18*'Cash Flows'!$B$21)),IF('Cash Flows'!$B$22="",0,EXP(-D11*'Cash Flows'!$B$22)*EXP(-'Inputs'!$B$18*'Cash Flows'!$B$22)),IF('Cash Flows'!$B$23="",0,EXP(-D11*'Cash Flows'!$B$23)*EXP(-'Inputs'!$B$18*'Cash Flows'!$B$23)),IF('Cash Flows'!$B$24="",0,EXP(-D11*'Cash Flows'!$B$24)*EXP(-'Inputs'!$B$18*'Cash Flows'!$B$24)),IF('Cash Flows'!$B$25="",0,EXP(-D11*'Cash Flows'!$B$25)*EXP(-'Inputs'!$B$18*'Cash Flows'!$B$25)),IF('Cash Flows'!$B$26="",0,EXP(-D11*'Cash Flows'!$B$26)*EXP(-'Inputs'!$B$18*'Cash Flows'!$B$26)),IF('Cash Flows'!$B$27="",0,EXP(-D11*'Cash Flows'!$B$27)*EXP(-'Inputs'!$B$18*'Cash Flows'!$B$27)),IF('Cash Flows'!$B$28="",0,EXP(-D11*'Cash Flows'!$B$28)*EXP(-'Inputs'!$B$18*'Cash Flows'!$B$28)),IF('Cash Flows'!$B$29="",0,EXP(-D11*'Cash Flows'!$B$29)*EXP(-'Inputs'!$B$18*'Cash Flows'!$B$29)),IF('Cash Flows'!$B$30="",0,EXP(-D11*'Cash Flows'!$B$30)*EXP(-'Inputs'!$B$18*'Cash Flows'!$B$30)),IF('Cash Flows'!$B$31="",0,EXP(-D11*'Cash Flows'!$B$31)*EXP(-'Inputs'!$B$18*'Cash Flows'!$B$31)),IF('Cash Flows'!$B$32="",0,EXP(-D11*'Cash Flows'!$B$32)*EXP(-'Inputs'!$B$18*'Cash Flows'!$B$32)),IF('Cash Flows'!$B$33="",0,EXP(-D11*'Cash Flows'!$B$33)*EXP(-'Inputs'!$B$18*'Cash Flows'!$B$33)),IF('Cash Flows'!$B$34="",0,EXP(-D11*'Cash Flows'!$B$34)*EXP(-'Inputs'!$B$18*'Cash Flows'!$B$34)),IF('Cash Flows'!$B$35="",0,EXP(-D11*'Cash Flows'!$B$35)*EXP(-'Inputs'!$B$18*'Cash Flows'!$B$35)),IF('Cash Flows'!$B$36="",0,EXP(-D11*'Cash Flows'!$B$36)*EXP(-'Inputs'!$B$18*'Cash Flows'!$B$36)),IF('Cash Flows'!$B$37="",0,EXP(-D11*'Cash Flows'!$B$37)*EXP(-'Inputs'!$B$18*'Cash Flows'!$B$37)),IF('Cash Flows'!$B$38="",0,EXP(-D11*'Cash Flows'!$B$38)*EXP(-'Inputs'!$B$18*'Cash Flows'!$B$38)),IF('Cash Flows'!$B$39="",0,EXP(-D11*'Cash Flows'!$B$39)*EXP(-'Inputs'!$B$18*'Cash Flows'!$B$39)),IF('Cash Flows'!$B$40="",0,EXP(-D11*'Cash Flows'!$B$40)*EXP(-'Inputs'!$B$18*'Cash Flows'!$B$40)),IF('Cash Flows'!$B$41="",0,EXP(-D11*'Cash Flows'!$B$41)*EXP(-'Inputs'!$B$18*'Cash Flows'!$B$41)),IF('Cash Flows'!$B$42="",0,EXP(-D11*'Cash Flows'!$B$42)*EXP(-'Inputs'!$B$18*'Cash Flows'!$B$42)),IF('Cash Flows'!$B$43="",0,EXP(-D11*'Cash Flows'!$B$43)*EXP(-'Inputs'!$B$18*'Cash Flows'!$B$43)),IF('Cash Flows'!$B$44="",0,EXP(-D11*'Cash Flows'!$B$44)*EXP(-'Inputs'!$B$18*'Cash Flows'!$B$44)),IF('Cash Flows'!$B$45="",0,EXP(-D11*'Cash Flows'!$B$45)*EXP(-'Inputs'!$B$18*'Cash Flows'!$B$45)))</x:f>
        <x:v>17.28809473269437</x:v>
      </x:c>
      <x:c r="I11" s="158" t="n">
        <x:f>SUM(IF('Cash Flows'!$B$6="",0,(EXP(-D11*'Cash Flows'!$C$6)-EXP(-D11*'Cash Flows'!$B$6))*EXP(-'Inputs'!$B$18*'Cash Flows'!$B$6)),IF('Cash Flows'!$B$7="",0,(EXP(-D11*'Cash Flows'!$C$7)-EXP(-D11*'Cash Flows'!$B$7))*EXP(-'Inputs'!$B$18*'Cash Flows'!$B$7)),IF('Cash Flows'!$B$8="",0,(EXP(-D11*'Cash Flows'!$C$8)-EXP(-D11*'Cash Flows'!$B$8))*EXP(-'Inputs'!$B$18*'Cash Flows'!$B$8)),IF('Cash Flows'!$B$9="",0,(EXP(-D11*'Cash Flows'!$C$9)-EXP(-D11*'Cash Flows'!$B$9))*EXP(-'Inputs'!$B$18*'Cash Flows'!$B$9)),IF('Cash Flows'!$B$10="",0,(EXP(-D11*'Cash Flows'!$C$10)-EXP(-D11*'Cash Flows'!$B$10))*EXP(-'Inputs'!$B$18*'Cash Flows'!$B$10)),IF('Cash Flows'!$B$11="",0,(EXP(-D11*'Cash Flows'!$C$11)-EXP(-D11*'Cash Flows'!$B$11))*EXP(-'Inputs'!$B$18*'Cash Flows'!$B$11)),IF('Cash Flows'!$B$12="",0,(EXP(-D11*'Cash Flows'!$C$12)-EXP(-D11*'Cash Flows'!$B$12))*EXP(-'Inputs'!$B$18*'Cash Flows'!$B$12)),IF('Cash Flows'!$B$13="",0,(EXP(-D11*'Cash Flows'!$C$13)-EXP(-D11*'Cash Flows'!$B$13))*EXP(-'Inputs'!$B$18*'Cash Flows'!$B$13)),IF('Cash Flows'!$B$14="",0,(EXP(-D11*'Cash Flows'!$C$14)-EXP(-D11*'Cash Flows'!$B$14))*EXP(-'Inputs'!$B$18*'Cash Flows'!$B$14)),IF('Cash Flows'!$B$15="",0,(EXP(-D11*'Cash Flows'!$C$15)-EXP(-D11*'Cash Flows'!$B$15))*EXP(-'Inputs'!$B$18*'Cash Flows'!$B$15)),IF('Cash Flows'!$B$16="",0,(EXP(-D11*'Cash Flows'!$C$16)-EXP(-D11*'Cash Flows'!$B$16))*EXP(-'Inputs'!$B$18*'Cash Flows'!$B$16)),IF('Cash Flows'!$B$17="",0,(EXP(-D11*'Cash Flows'!$C$17)-EXP(-D11*'Cash Flows'!$B$17))*EXP(-'Inputs'!$B$18*'Cash Flows'!$B$17)),IF('Cash Flows'!$B$18="",0,(EXP(-D11*'Cash Flows'!$C$18)-EXP(-D11*'Cash Flows'!$B$18))*EXP(-'Inputs'!$B$18*'Cash Flows'!$B$18)),IF('Cash Flows'!$B$19="",0,(EXP(-D11*'Cash Flows'!$C$19)-EXP(-D11*'Cash Flows'!$B$19))*EXP(-'Inputs'!$B$18*'Cash Flows'!$B$19)),IF('Cash Flows'!$B$20="",0,(EXP(-D11*'Cash Flows'!$C$20)-EXP(-D11*'Cash Flows'!$B$20))*EXP(-'Inputs'!$B$18*'Cash Flows'!$B$20)),IF('Cash Flows'!$B$21="",0,(EXP(-D11*'Cash Flows'!$C$21)-EXP(-D11*'Cash Flows'!$B$21))*EXP(-'Inputs'!$B$18*'Cash Flows'!$B$21)),IF('Cash Flows'!$B$22="",0,(EXP(-D11*'Cash Flows'!$C$22)-EXP(-D11*'Cash Flows'!$B$22))*EXP(-'Inputs'!$B$18*'Cash Flows'!$B$22)),IF('Cash Flows'!$B$23="",0,(EXP(-D11*'Cash Flows'!$C$23)-EXP(-D11*'Cash Flows'!$B$23))*EXP(-'Inputs'!$B$18*'Cash Flows'!$B$23)),IF('Cash Flows'!$B$24="",0,(EXP(-D11*'Cash Flows'!$C$24)-EXP(-D11*'Cash Flows'!$B$24))*EXP(-'Inputs'!$B$18*'Cash Flows'!$B$24)),IF('Cash Flows'!$B$25="",0,(EXP(-D11*'Cash Flows'!$C$25)-EXP(-D11*'Cash Flows'!$B$25))*EXP(-'Inputs'!$B$18*'Cash Flows'!$B$25)),IF('Cash Flows'!$B$26="",0,(EXP(-D11*'Cash Flows'!$C$26)-EXP(-D11*'Cash Flows'!$B$26))*EXP(-'Inputs'!$B$18*'Cash Flows'!$B$26)),IF('Cash Flows'!$B$27="",0,(EXP(-D11*'Cash Flows'!$C$27)-EXP(-D11*'Cash Flows'!$B$27))*EXP(-'Inputs'!$B$18*'Cash Flows'!$B$27)),IF('Cash Flows'!$B$28="",0,(EXP(-D11*'Cash Flows'!$C$28)-EXP(-D11*'Cash Flows'!$B$28))*EXP(-'Inputs'!$B$18*'Cash Flows'!$B$28)),IF('Cash Flows'!$B$29="",0,(EXP(-D11*'Cash Flows'!$C$29)-EXP(-D11*'Cash Flows'!$B$29))*EXP(-'Inputs'!$B$18*'Cash Flows'!$B$29)),IF('Cash Flows'!$B$30="",0,(EXP(-D11*'Cash Flows'!$C$30)-EXP(-D11*'Cash Flows'!$B$30))*EXP(-'Inputs'!$B$18*'Cash Flows'!$B$30)),IF('Cash Flows'!$B$31="",0,(EXP(-D11*'Cash Flows'!$C$31)-EXP(-D11*'Cash Flows'!$B$31))*EXP(-'Inputs'!$B$18*'Cash Flows'!$B$31)),IF('Cash Flows'!$B$32="",0,(EXP(-D11*'Cash Flows'!$C$32)-EXP(-D11*'Cash Flows'!$B$32))*EXP(-'Inputs'!$B$18*'Cash Flows'!$B$32)),IF('Cash Flows'!$B$33="",0,(EXP(-D11*'Cash Flows'!$C$33)-EXP(-D11*'Cash Flows'!$B$33))*EXP(-'Inputs'!$B$18*'Cash Flows'!$B$33)),IF('Cash Flows'!$B$34="",0,(EXP(-D11*'Cash Flows'!$C$34)-EXP(-D11*'Cash Flows'!$B$34))*EXP(-'Inputs'!$B$18*'Cash Flows'!$B$34)),IF('Cash Flows'!$B$35="",0,(EXP(-D11*'Cash Flows'!$C$35)-EXP(-D11*'Cash Flows'!$B$35))*EXP(-'Inputs'!$B$18*'Cash Flows'!$B$35)),IF('Cash Flows'!$B$36="",0,(EXP(-D11*'Cash Flows'!$C$36)-EXP(-D11*'Cash Flows'!$B$36))*EXP(-'Inputs'!$B$18*'Cash Flows'!$B$36)),IF('Cash Flows'!$B$37="",0,(EXP(-D11*'Cash Flows'!$C$37)-EXP(-D11*'Cash Flows'!$B$37))*EXP(-'Inputs'!$B$18*'Cash Flows'!$B$37)),IF('Cash Flows'!$B$38="",0,(EXP(-D11*'Cash Flows'!$C$38)-EXP(-D11*'Cash Flows'!$B$38))*EXP(-'Inputs'!$B$18*'Cash Flows'!$B$38)),IF('Cash Flows'!$B$39="",0,(EXP(-D11*'Cash Flows'!$C$39)-EXP(-D11*'Cash Flows'!$B$39))*EXP(-'Inputs'!$B$18*'Cash Flows'!$B$39)),IF('Cash Flows'!$B$40="",0,(EXP(-D11*'Cash Flows'!$C$40)-EXP(-D11*'Cash Flows'!$B$40))*EXP(-'Inputs'!$B$18*'Cash Flows'!$B$40)),IF('Cash Flows'!$B$41="",0,(EXP(-D11*'Cash Flows'!$C$41)-EXP(-D11*'Cash Flows'!$B$41))*EXP(-'Inputs'!$B$18*'Cash Flows'!$B$41)),IF('Cash Flows'!$B$42="",0,(EXP(-D11*'Cash Flows'!$C$42)-EXP(-D11*'Cash Flows'!$B$42))*EXP(-'Inputs'!$B$18*'Cash Flows'!$B$42)),IF('Cash Flows'!$B$43="",0,(EXP(-D11*'Cash Flows'!$C$43)-EXP(-D11*'Cash Flows'!$B$43))*EXP(-'Inputs'!$B$18*'Cash Flows'!$B$43)),IF('Cash Flows'!$B$44="",0,(EXP(-D11*'Cash Flows'!$C$44)-EXP(-D11*'Cash Flows'!$B$44))*EXP(-'Inputs'!$B$18*'Cash Flows'!$B$44)),IF('Cash Flows'!$B$45="",0,(EXP(-D11*'Cash Flows'!$C$45)-EXP(-D11*'Cash Flows'!$B$45))*EXP(-'Inputs'!$B$18*'Cash Flows'!$B$45)))</x:f>
        <x:v>0.06185358255418231</x:v>
      </x:c>
      <x:c r="J11" s="95" t="n">
        <x:v>0.6</x:v>
      </x:c>
      <x:c r="K11" s="159" t="n">
        <x:f>SUMIFS($F$6:$F$30,$B$6:$B$30,K$6,$C$6:$C$30,$J11)</x:f>
        <x:v>1.0819469354222337</x:v>
      </x:c>
      <x:c r="L11" s="159" t="n">
        <x:f>SUMIFS($F$6:$F$30,$B$6:$B$30,L$6,$C$6:$C$30,$J11)</x:f>
        <x:v>1.0360505921670646</x:v>
      </x:c>
      <x:c r="M11" s="159" t="n">
        <x:f>SUMIFS($F$6:$F$30,$B$6:$B$30,M$6,$C$6:$C$30,$J11)</x:f>
        <x:v>0.99508823739813</x:v>
      </x:c>
      <x:c r="N11" s="159" t="n">
        <x:f>SUMIFS($F$6:$F$30,$B$6:$B$30,N$6,$C$6:$C$30,$J11)</x:f>
        <x:v>0.9585065198351298</x:v>
      </x:c>
      <x:c r="O11" s="159" t="n">
        <x:f>SUMIFS($F$6:$F$30,$B$6:$B$30,O$6,$C$6:$C$30,$J11)</x:f>
        <x:v>0.8965802481628351</x:v>
      </x:c>
    </x:row>
    <x:row r="12">
      <x:c r="A12" s="129" t="str">
        <x:v>S200 / R30</x:v>
      </x:c>
      <x:c r="B12" s="136" t="n">
        <x:v>0.02</x:v>
      </x:c>
      <x:c r="C12" s="136" t="n">
        <x:v>0.3</x:v>
      </x:c>
      <x:c r="D12" s="136" t="n">
        <x:f>IF(C12&lt;1,B12/(1-C12),0)</x:f>
        <x:v>0.028571428571428574</x:v>
      </x:c>
      <x:c r="E12" s="136" t="n">
        <x:f>1-EXP(-D12*'Inputs'!$B$10)</x:f>
        <x:v>0.1331221002498184</x:v>
      </x:c>
      <x:c r="F12" s="136" t="n">
        <x:f>'Inputs'!$B$35/'Inputs'!$B$9*H12+MAX(0,C12-IF('Inputs'!$B$6="REPACK",'Inputs'!$B$21,0))*I12+EXP(-D12*'Inputs'!$B$10)*EXP(-'Inputs'!$B$18*'Inputs'!$B$10)</x:f>
        <x:v>1.0391873105783844</x:v>
      </x:c>
      <x:c r="G12" s="136" t="n">
        <x:f>IF(H12&gt;0,IF('Inputs'!$B$6="CLN",('Inputs'!$B$11-MAX(0,C12-IF('Inputs'!$B$6="REPACK",'Inputs'!$B$21,0))*I12-EXP(-D12*'Inputs'!$B$10)*EXP(-'Inputs'!$B$18*'Inputs'!$B$10))/(H12/'Inputs'!$B$9),('Inputs'!$B$11-'Inputs'!$B$29+'Inputs'!$B$28/'Inputs'!$B$9*H12+C12*I12+EXP(-D12*'Inputs'!$B$10)*EXP(-'Inputs'!$B$18*'Inputs'!$B$10)-MAX(0,C12-IF('Inputs'!$B$6="REPACK",'Inputs'!$B$21,0))*I12-EXP(-D12*'Inputs'!$B$10)*EXP(-'Inputs'!$B$18*'Inputs'!$B$10)-('Inputs'!$B$30+'Inputs'!$B$31)/'Inputs'!$B$9*H12)/(H12/'Inputs'!$B$9)),"")</x:f>
        <x:v>0.06310446440644389</x:v>
      </x:c>
      <x:c r="H12" s="157" t="n">
        <x:f>SUM(IF('Cash Flows'!$B$6="",0,EXP(-D12*'Cash Flows'!$B$6)*EXP(-'Inputs'!$B$18*'Cash Flows'!$B$6)),IF('Cash Flows'!$B$7="",0,EXP(-D12*'Cash Flows'!$B$7)*EXP(-'Inputs'!$B$18*'Cash Flows'!$B$7)),IF('Cash Flows'!$B$8="",0,EXP(-D12*'Cash Flows'!$B$8)*EXP(-'Inputs'!$B$18*'Cash Flows'!$B$8)),IF('Cash Flows'!$B$9="",0,EXP(-D12*'Cash Flows'!$B$9)*EXP(-'Inputs'!$B$18*'Cash Flows'!$B$9)),IF('Cash Flows'!$B$10="",0,EXP(-D12*'Cash Flows'!$B$10)*EXP(-'Inputs'!$B$18*'Cash Flows'!$B$10)),IF('Cash Flows'!$B$11="",0,EXP(-D12*'Cash Flows'!$B$11)*EXP(-'Inputs'!$B$18*'Cash Flows'!$B$11)),IF('Cash Flows'!$B$12="",0,EXP(-D12*'Cash Flows'!$B$12)*EXP(-'Inputs'!$B$18*'Cash Flows'!$B$12)),IF('Cash Flows'!$B$13="",0,EXP(-D12*'Cash Flows'!$B$13)*EXP(-'Inputs'!$B$18*'Cash Flows'!$B$13)),IF('Cash Flows'!$B$14="",0,EXP(-D12*'Cash Flows'!$B$14)*EXP(-'Inputs'!$B$18*'Cash Flows'!$B$14)),IF('Cash Flows'!$B$15="",0,EXP(-D12*'Cash Flows'!$B$15)*EXP(-'Inputs'!$B$18*'Cash Flows'!$B$15)),IF('Cash Flows'!$B$16="",0,EXP(-D12*'Cash Flows'!$B$16)*EXP(-'Inputs'!$B$18*'Cash Flows'!$B$16)),IF('Cash Flows'!$B$17="",0,EXP(-D12*'Cash Flows'!$B$17)*EXP(-'Inputs'!$B$18*'Cash Flows'!$B$17)),IF('Cash Flows'!$B$18="",0,EXP(-D12*'Cash Flows'!$B$18)*EXP(-'Inputs'!$B$18*'Cash Flows'!$B$18)),IF('Cash Flows'!$B$19="",0,EXP(-D12*'Cash Flows'!$B$19)*EXP(-'Inputs'!$B$18*'Cash Flows'!$B$19)),IF('Cash Flows'!$B$20="",0,EXP(-D12*'Cash Flows'!$B$20)*EXP(-'Inputs'!$B$18*'Cash Flows'!$B$20)),IF('Cash Flows'!$B$21="",0,EXP(-D12*'Cash Flows'!$B$21)*EXP(-'Inputs'!$B$18*'Cash Flows'!$B$21)),IF('Cash Flows'!$B$22="",0,EXP(-D12*'Cash Flows'!$B$22)*EXP(-'Inputs'!$B$18*'Cash Flows'!$B$22)),IF('Cash Flows'!$B$23="",0,EXP(-D12*'Cash Flows'!$B$23)*EXP(-'Inputs'!$B$18*'Cash Flows'!$B$23)),IF('Cash Flows'!$B$24="",0,EXP(-D12*'Cash Flows'!$B$24)*EXP(-'Inputs'!$B$18*'Cash Flows'!$B$24)),IF('Cash Flows'!$B$25="",0,EXP(-D12*'Cash Flows'!$B$25)*EXP(-'Inputs'!$B$18*'Cash Flows'!$B$25)),IF('Cash Flows'!$B$26="",0,EXP(-D12*'Cash Flows'!$B$26)*EXP(-'Inputs'!$B$18*'Cash Flows'!$B$26)),IF('Cash Flows'!$B$27="",0,EXP(-D12*'Cash Flows'!$B$27)*EXP(-'Inputs'!$B$18*'Cash Flows'!$B$27)),IF('Cash Flows'!$B$28="",0,EXP(-D12*'Cash Flows'!$B$28)*EXP(-'Inputs'!$B$18*'Cash Flows'!$B$28)),IF('Cash Flows'!$B$29="",0,EXP(-D12*'Cash Flows'!$B$29)*EXP(-'Inputs'!$B$18*'Cash Flows'!$B$29)),IF('Cash Flows'!$B$30="",0,EXP(-D12*'Cash Flows'!$B$30)*EXP(-'Inputs'!$B$18*'Cash Flows'!$B$30)),IF('Cash Flows'!$B$31="",0,EXP(-D12*'Cash Flows'!$B$31)*EXP(-'Inputs'!$B$18*'Cash Flows'!$B$31)),IF('Cash Flows'!$B$32="",0,EXP(-D12*'Cash Flows'!$B$32)*EXP(-'Inputs'!$B$18*'Cash Flows'!$B$32)),IF('Cash Flows'!$B$33="",0,EXP(-D12*'Cash Flows'!$B$33)*EXP(-'Inputs'!$B$18*'Cash Flows'!$B$33)),IF('Cash Flows'!$B$34="",0,EXP(-D12*'Cash Flows'!$B$34)*EXP(-'Inputs'!$B$18*'Cash Flows'!$B$34)),IF('Cash Flows'!$B$35="",0,EXP(-D12*'Cash Flows'!$B$35)*EXP(-'Inputs'!$B$18*'Cash Flows'!$B$35)),IF('Cash Flows'!$B$36="",0,EXP(-D12*'Cash Flows'!$B$36)*EXP(-'Inputs'!$B$18*'Cash Flows'!$B$36)),IF('Cash Flows'!$B$37="",0,EXP(-D12*'Cash Flows'!$B$37)*EXP(-'Inputs'!$B$18*'Cash Flows'!$B$37)),IF('Cash Flows'!$B$38="",0,EXP(-D12*'Cash Flows'!$B$38)*EXP(-'Inputs'!$B$18*'Cash Flows'!$B$38)),IF('Cash Flows'!$B$39="",0,EXP(-D12*'Cash Flows'!$B$39)*EXP(-'Inputs'!$B$18*'Cash Flows'!$B$39)),IF('Cash Flows'!$B$40="",0,EXP(-D12*'Cash Flows'!$B$40)*EXP(-'Inputs'!$B$18*'Cash Flows'!$B$40)),IF('Cash Flows'!$B$41="",0,EXP(-D12*'Cash Flows'!$B$41)*EXP(-'Inputs'!$B$18*'Cash Flows'!$B$41)),IF('Cash Flows'!$B$42="",0,EXP(-D12*'Cash Flows'!$B$42)*EXP(-'Inputs'!$B$18*'Cash Flows'!$B$42)),IF('Cash Flows'!$B$43="",0,EXP(-D12*'Cash Flows'!$B$43)*EXP(-'Inputs'!$B$18*'Cash Flows'!$B$43)),IF('Cash Flows'!$B$44="",0,EXP(-D12*'Cash Flows'!$B$44)*EXP(-'Inputs'!$B$18*'Cash Flows'!$B$44)),IF('Cash Flows'!$B$45="",0,EXP(-D12*'Cash Flows'!$B$45)*EXP(-'Inputs'!$B$18*'Cash Flows'!$B$45)))</x:f>
        <x:v>16.68337485954961</x:v>
      </x:c>
      <x:c r="I12" s="158" t="n">
        <x:f>SUM(IF('Cash Flows'!$B$6="",0,(EXP(-D12*'Cash Flows'!$C$6)-EXP(-D12*'Cash Flows'!$B$6))*EXP(-'Inputs'!$B$18*'Cash Flows'!$B$6)),IF('Cash Flows'!$B$7="",0,(EXP(-D12*'Cash Flows'!$C$7)-EXP(-D12*'Cash Flows'!$B$7))*EXP(-'Inputs'!$B$18*'Cash Flows'!$B$7)),IF('Cash Flows'!$B$8="",0,(EXP(-D12*'Cash Flows'!$C$8)-EXP(-D12*'Cash Flows'!$B$8))*EXP(-'Inputs'!$B$18*'Cash Flows'!$B$8)),IF('Cash Flows'!$B$9="",0,(EXP(-D12*'Cash Flows'!$C$9)-EXP(-D12*'Cash Flows'!$B$9))*EXP(-'Inputs'!$B$18*'Cash Flows'!$B$9)),IF('Cash Flows'!$B$10="",0,(EXP(-D12*'Cash Flows'!$C$10)-EXP(-D12*'Cash Flows'!$B$10))*EXP(-'Inputs'!$B$18*'Cash Flows'!$B$10)),IF('Cash Flows'!$B$11="",0,(EXP(-D12*'Cash Flows'!$C$11)-EXP(-D12*'Cash Flows'!$B$11))*EXP(-'Inputs'!$B$18*'Cash Flows'!$B$11)),IF('Cash Flows'!$B$12="",0,(EXP(-D12*'Cash Flows'!$C$12)-EXP(-D12*'Cash Flows'!$B$12))*EXP(-'Inputs'!$B$18*'Cash Flows'!$B$12)),IF('Cash Flows'!$B$13="",0,(EXP(-D12*'Cash Flows'!$C$13)-EXP(-D12*'Cash Flows'!$B$13))*EXP(-'Inputs'!$B$18*'Cash Flows'!$B$13)),IF('Cash Flows'!$B$14="",0,(EXP(-D12*'Cash Flows'!$C$14)-EXP(-D12*'Cash Flows'!$B$14))*EXP(-'Inputs'!$B$18*'Cash Flows'!$B$14)),IF('Cash Flows'!$B$15="",0,(EXP(-D12*'Cash Flows'!$C$15)-EXP(-D12*'Cash Flows'!$B$15))*EXP(-'Inputs'!$B$18*'Cash Flows'!$B$15)),IF('Cash Flows'!$B$16="",0,(EXP(-D12*'Cash Flows'!$C$16)-EXP(-D12*'Cash Flows'!$B$16))*EXP(-'Inputs'!$B$18*'Cash Flows'!$B$16)),IF('Cash Flows'!$B$17="",0,(EXP(-D12*'Cash Flows'!$C$17)-EXP(-D12*'Cash Flows'!$B$17))*EXP(-'Inputs'!$B$18*'Cash Flows'!$B$17)),IF('Cash Flows'!$B$18="",0,(EXP(-D12*'Cash Flows'!$C$18)-EXP(-D12*'Cash Flows'!$B$18))*EXP(-'Inputs'!$B$18*'Cash Flows'!$B$18)),IF('Cash Flows'!$B$19="",0,(EXP(-D12*'Cash Flows'!$C$19)-EXP(-D12*'Cash Flows'!$B$19))*EXP(-'Inputs'!$B$18*'Cash Flows'!$B$19)),IF('Cash Flows'!$B$20="",0,(EXP(-D12*'Cash Flows'!$C$20)-EXP(-D12*'Cash Flows'!$B$20))*EXP(-'Inputs'!$B$18*'Cash Flows'!$B$20)),IF('Cash Flows'!$B$21="",0,(EXP(-D12*'Cash Flows'!$C$21)-EXP(-D12*'Cash Flows'!$B$21))*EXP(-'Inputs'!$B$18*'Cash Flows'!$B$21)),IF('Cash Flows'!$B$22="",0,(EXP(-D12*'Cash Flows'!$C$22)-EXP(-D12*'Cash Flows'!$B$22))*EXP(-'Inputs'!$B$18*'Cash Flows'!$B$22)),IF('Cash Flows'!$B$23="",0,(EXP(-D12*'Cash Flows'!$C$23)-EXP(-D12*'Cash Flows'!$B$23))*EXP(-'Inputs'!$B$18*'Cash Flows'!$B$23)),IF('Cash Flows'!$B$24="",0,(EXP(-D12*'Cash Flows'!$C$24)-EXP(-D12*'Cash Flows'!$B$24))*EXP(-'Inputs'!$B$18*'Cash Flows'!$B$24)),IF('Cash Flows'!$B$25="",0,(EXP(-D12*'Cash Flows'!$C$25)-EXP(-D12*'Cash Flows'!$B$25))*EXP(-'Inputs'!$B$18*'Cash Flows'!$B$25)),IF('Cash Flows'!$B$26="",0,(EXP(-D12*'Cash Flows'!$C$26)-EXP(-D12*'Cash Flows'!$B$26))*EXP(-'Inputs'!$B$18*'Cash Flows'!$B$26)),IF('Cash Flows'!$B$27="",0,(EXP(-D12*'Cash Flows'!$C$27)-EXP(-D12*'Cash Flows'!$B$27))*EXP(-'Inputs'!$B$18*'Cash Flows'!$B$27)),IF('Cash Flows'!$B$28="",0,(EXP(-D12*'Cash Flows'!$C$28)-EXP(-D12*'Cash Flows'!$B$28))*EXP(-'Inputs'!$B$18*'Cash Flows'!$B$28)),IF('Cash Flows'!$B$29="",0,(EXP(-D12*'Cash Flows'!$C$29)-EXP(-D12*'Cash Flows'!$B$29))*EXP(-'Inputs'!$B$18*'Cash Flows'!$B$29)),IF('Cash Flows'!$B$30="",0,(EXP(-D12*'Cash Flows'!$C$30)-EXP(-D12*'Cash Flows'!$B$30))*EXP(-'Inputs'!$B$18*'Cash Flows'!$B$30)),IF('Cash Flows'!$B$31="",0,(EXP(-D12*'Cash Flows'!$C$31)-EXP(-D12*'Cash Flows'!$B$31))*EXP(-'Inputs'!$B$18*'Cash Flows'!$B$31)),IF('Cash Flows'!$B$32="",0,(EXP(-D12*'Cash Flows'!$C$32)-EXP(-D12*'Cash Flows'!$B$32))*EXP(-'Inputs'!$B$18*'Cash Flows'!$B$32)),IF('Cash Flows'!$B$33="",0,(EXP(-D12*'Cash Flows'!$C$33)-EXP(-D12*'Cash Flows'!$B$33))*EXP(-'Inputs'!$B$18*'Cash Flows'!$B$33)),IF('Cash Flows'!$B$34="",0,(EXP(-D12*'Cash Flows'!$C$34)-EXP(-D12*'Cash Flows'!$B$34))*EXP(-'Inputs'!$B$18*'Cash Flows'!$B$34)),IF('Cash Flows'!$B$35="",0,(EXP(-D12*'Cash Flows'!$C$35)-EXP(-D12*'Cash Flows'!$B$35))*EXP(-'Inputs'!$B$18*'Cash Flows'!$B$35)),IF('Cash Flows'!$B$36="",0,(EXP(-D12*'Cash Flows'!$C$36)-EXP(-D12*'Cash Flows'!$B$36))*EXP(-'Inputs'!$B$18*'Cash Flows'!$B$36)),IF('Cash Flows'!$B$37="",0,(EXP(-D12*'Cash Flows'!$C$37)-EXP(-D12*'Cash Flows'!$B$37))*EXP(-'Inputs'!$B$18*'Cash Flows'!$B$37)),IF('Cash Flows'!$B$38="",0,(EXP(-D12*'Cash Flows'!$C$38)-EXP(-D12*'Cash Flows'!$B$38))*EXP(-'Inputs'!$B$18*'Cash Flows'!$B$38)),IF('Cash Flows'!$B$39="",0,(EXP(-D12*'Cash Flows'!$C$39)-EXP(-D12*'Cash Flows'!$B$39))*EXP(-'Inputs'!$B$18*'Cash Flows'!$B$39)),IF('Cash Flows'!$B$40="",0,(EXP(-D12*'Cash Flows'!$C$40)-EXP(-D12*'Cash Flows'!$B$40))*EXP(-'Inputs'!$B$18*'Cash Flows'!$B$40)),IF('Cash Flows'!$B$41="",0,(EXP(-D12*'Cash Flows'!$C$41)-EXP(-D12*'Cash Flows'!$B$41))*EXP(-'Inputs'!$B$18*'Cash Flows'!$B$41)),IF('Cash Flows'!$B$42="",0,(EXP(-D12*'Cash Flows'!$C$42)-EXP(-D12*'Cash Flows'!$B$42))*EXP(-'Inputs'!$B$18*'Cash Flows'!$B$42)),IF('Cash Flows'!$B$43="",0,(EXP(-D12*'Cash Flows'!$C$43)-EXP(-D12*'Cash Flows'!$B$43))*EXP(-'Inputs'!$B$18*'Cash Flows'!$B$43)),IF('Cash Flows'!$B$44="",0,(EXP(-D12*'Cash Flows'!$C$44)-EXP(-D12*'Cash Flows'!$B$44))*EXP(-'Inputs'!$B$18*'Cash Flows'!$B$44)),IF('Cash Flows'!$B$45="",0,(EXP(-D12*'Cash Flows'!$C$45)-EXP(-D12*'Cash Flows'!$B$45))*EXP(-'Inputs'!$B$18*'Cash Flows'!$B$45)))</x:f>
        <x:v>0.1195935747165486</x:v>
      </x:c>
      <x:c r="J12" s="111"/>
      <x:c r="K12" s="111"/>
      <x:c r="L12" s="111"/>
      <x:c r="M12" s="111"/>
      <x:c r="N12" s="111"/>
      <x:c r="O12" s="111"/>
    </x:row>
    <x:row r="13">
      <x:c r="A13" s="129" t="str">
        <x:v>S300 / R30</x:v>
      </x:c>
      <x:c r="B13" s="136" t="n">
        <x:v>0.03</x:v>
      </x:c>
      <x:c r="C13" s="136" t="n">
        <x:v>0.3</x:v>
      </x:c>
      <x:c r="D13" s="136" t="n">
        <x:f>IF(C13&lt;1,B13/(1-C13),0)</x:f>
        <x:v>0.04285714285714286</x:v>
      </x:c>
      <x:c r="E13" s="136" t="n">
        <x:f>1-EXP(-D13*'Inputs'!$B$10)</x:f>
        <x:v>0.1928822529946107</x:v>
      </x:c>
      <x:c r="F13" s="136" t="n">
        <x:f>'Inputs'!$B$35/'Inputs'!$B$9*H13+MAX(0,C13-IF('Inputs'!$B$6="REPACK",'Inputs'!$B$21,0))*I13+EXP(-D13*'Inputs'!$B$10)*EXP(-'Inputs'!$B$18*'Inputs'!$B$10)</x:f>
        <x:v>0.9965849235961234</x:v>
      </x:c>
      <x:c r="G13" s="136" t="n">
        <x:f>IF(H13&gt;0,IF('Inputs'!$B$6="CLN",('Inputs'!$B$11-MAX(0,C13-IF('Inputs'!$B$6="REPACK",'Inputs'!$B$21,0))*I13-EXP(-D13*'Inputs'!$B$10)*EXP(-'Inputs'!$B$18*'Inputs'!$B$10))/(H13/'Inputs'!$B$9),('Inputs'!$B$11-'Inputs'!$B$29+'Inputs'!$B$28/'Inputs'!$B$9*H13+C13*I13+EXP(-D13*'Inputs'!$B$10)*EXP(-'Inputs'!$B$18*'Inputs'!$B$10)-MAX(0,C13-IF('Inputs'!$B$6="REPACK",'Inputs'!$B$21,0))*I13-EXP(-D13*'Inputs'!$B$10)*EXP(-'Inputs'!$B$18*'Inputs'!$B$10)-('Inputs'!$B$30+'Inputs'!$B$31)/'Inputs'!$B$9*H13)/(H13/'Inputs'!$B$9)),"")</x:f>
        <x:v>0.07334811884544357</x:v>
      </x:c>
      <x:c r="H13" s="157" t="n">
        <x:f>SUM(IF('Cash Flows'!$B$6="",0,EXP(-D13*'Cash Flows'!$B$6)*EXP(-'Inputs'!$B$18*'Cash Flows'!$B$6)),IF('Cash Flows'!$B$7="",0,EXP(-D13*'Cash Flows'!$B$7)*EXP(-'Inputs'!$B$18*'Cash Flows'!$B$7)),IF('Cash Flows'!$B$8="",0,EXP(-D13*'Cash Flows'!$B$8)*EXP(-'Inputs'!$B$18*'Cash Flows'!$B$8)),IF('Cash Flows'!$B$9="",0,EXP(-D13*'Cash Flows'!$B$9)*EXP(-'Inputs'!$B$18*'Cash Flows'!$B$9)),IF('Cash Flows'!$B$10="",0,EXP(-D13*'Cash Flows'!$B$10)*EXP(-'Inputs'!$B$18*'Cash Flows'!$B$10)),IF('Cash Flows'!$B$11="",0,EXP(-D13*'Cash Flows'!$B$11)*EXP(-'Inputs'!$B$18*'Cash Flows'!$B$11)),IF('Cash Flows'!$B$12="",0,EXP(-D13*'Cash Flows'!$B$12)*EXP(-'Inputs'!$B$18*'Cash Flows'!$B$12)),IF('Cash Flows'!$B$13="",0,EXP(-D13*'Cash Flows'!$B$13)*EXP(-'Inputs'!$B$18*'Cash Flows'!$B$13)),IF('Cash Flows'!$B$14="",0,EXP(-D13*'Cash Flows'!$B$14)*EXP(-'Inputs'!$B$18*'Cash Flows'!$B$14)),IF('Cash Flows'!$B$15="",0,EXP(-D13*'Cash Flows'!$B$15)*EXP(-'Inputs'!$B$18*'Cash Flows'!$B$15)),IF('Cash Flows'!$B$16="",0,EXP(-D13*'Cash Flows'!$B$16)*EXP(-'Inputs'!$B$18*'Cash Flows'!$B$16)),IF('Cash Flows'!$B$17="",0,EXP(-D13*'Cash Flows'!$B$17)*EXP(-'Inputs'!$B$18*'Cash Flows'!$B$17)),IF('Cash Flows'!$B$18="",0,EXP(-D13*'Cash Flows'!$B$18)*EXP(-'Inputs'!$B$18*'Cash Flows'!$B$18)),IF('Cash Flows'!$B$19="",0,EXP(-D13*'Cash Flows'!$B$19)*EXP(-'Inputs'!$B$18*'Cash Flows'!$B$19)),IF('Cash Flows'!$B$20="",0,EXP(-D13*'Cash Flows'!$B$20)*EXP(-'Inputs'!$B$18*'Cash Flows'!$B$20)),IF('Cash Flows'!$B$21="",0,EXP(-D13*'Cash Flows'!$B$21)*EXP(-'Inputs'!$B$18*'Cash Flows'!$B$21)),IF('Cash Flows'!$B$22="",0,EXP(-D13*'Cash Flows'!$B$22)*EXP(-'Inputs'!$B$18*'Cash Flows'!$B$22)),IF('Cash Flows'!$B$23="",0,EXP(-D13*'Cash Flows'!$B$23)*EXP(-'Inputs'!$B$18*'Cash Flows'!$B$23)),IF('Cash Flows'!$B$24="",0,EXP(-D13*'Cash Flows'!$B$24)*EXP(-'Inputs'!$B$18*'Cash Flows'!$B$24)),IF('Cash Flows'!$B$25="",0,EXP(-D13*'Cash Flows'!$B$25)*EXP(-'Inputs'!$B$18*'Cash Flows'!$B$25)),IF('Cash Flows'!$B$26="",0,EXP(-D13*'Cash Flows'!$B$26)*EXP(-'Inputs'!$B$18*'Cash Flows'!$B$26)),IF('Cash Flows'!$B$27="",0,EXP(-D13*'Cash Flows'!$B$27)*EXP(-'Inputs'!$B$18*'Cash Flows'!$B$27)),IF('Cash Flows'!$B$28="",0,EXP(-D13*'Cash Flows'!$B$28)*EXP(-'Inputs'!$B$18*'Cash Flows'!$B$28)),IF('Cash Flows'!$B$29="",0,EXP(-D13*'Cash Flows'!$B$29)*EXP(-'Inputs'!$B$18*'Cash Flows'!$B$29)),IF('Cash Flows'!$B$30="",0,EXP(-D13*'Cash Flows'!$B$30)*EXP(-'Inputs'!$B$18*'Cash Flows'!$B$30)),IF('Cash Flows'!$B$31="",0,EXP(-D13*'Cash Flows'!$B$31)*EXP(-'Inputs'!$B$18*'Cash Flows'!$B$31)),IF('Cash Flows'!$B$32="",0,EXP(-D13*'Cash Flows'!$B$32)*EXP(-'Inputs'!$B$18*'Cash Flows'!$B$32)),IF('Cash Flows'!$B$33="",0,EXP(-D13*'Cash Flows'!$B$33)*EXP(-'Inputs'!$B$18*'Cash Flows'!$B$33)),IF('Cash Flows'!$B$34="",0,EXP(-D13*'Cash Flows'!$B$34)*EXP(-'Inputs'!$B$18*'Cash Flows'!$B$34)),IF('Cash Flows'!$B$35="",0,EXP(-D13*'Cash Flows'!$B$35)*EXP(-'Inputs'!$B$18*'Cash Flows'!$B$35)),IF('Cash Flows'!$B$36="",0,EXP(-D13*'Cash Flows'!$B$36)*EXP(-'Inputs'!$B$18*'Cash Flows'!$B$36)),IF('Cash Flows'!$B$37="",0,EXP(-D13*'Cash Flows'!$B$37)*EXP(-'Inputs'!$B$18*'Cash Flows'!$B$37)),IF('Cash Flows'!$B$38="",0,EXP(-D13*'Cash Flows'!$B$38)*EXP(-'Inputs'!$B$18*'Cash Flows'!$B$38)),IF('Cash Flows'!$B$39="",0,EXP(-D13*'Cash Flows'!$B$39)*EXP(-'Inputs'!$B$18*'Cash Flows'!$B$39)),IF('Cash Flows'!$B$40="",0,EXP(-D13*'Cash Flows'!$B$40)*EXP(-'Inputs'!$B$18*'Cash Flows'!$B$40)),IF('Cash Flows'!$B$41="",0,EXP(-D13*'Cash Flows'!$B$41)*EXP(-'Inputs'!$B$18*'Cash Flows'!$B$41)),IF('Cash Flows'!$B$42="",0,EXP(-D13*'Cash Flows'!$B$42)*EXP(-'Inputs'!$B$18*'Cash Flows'!$B$42)),IF('Cash Flows'!$B$43="",0,EXP(-D13*'Cash Flows'!$B$43)*EXP(-'Inputs'!$B$18*'Cash Flows'!$B$43)),IF('Cash Flows'!$B$44="",0,EXP(-D13*'Cash Flows'!$B$44)*EXP(-'Inputs'!$B$18*'Cash Flows'!$B$44)),IF('Cash Flows'!$B$45="",0,EXP(-D13*'Cash Flows'!$B$45)*EXP(-'Inputs'!$B$18*'Cash Flows'!$B$45)))</x:f>
        <x:v>16.106593655941907</x:v>
      </x:c>
      <x:c r="I13" s="158" t="n">
        <x:f>SUM(IF('Cash Flows'!$B$6="",0,(EXP(-D13*'Cash Flows'!$C$6)-EXP(-D13*'Cash Flows'!$B$6))*EXP(-'Inputs'!$B$18*'Cash Flows'!$B$6)),IF('Cash Flows'!$B$7="",0,(EXP(-D13*'Cash Flows'!$C$7)-EXP(-D13*'Cash Flows'!$B$7))*EXP(-'Inputs'!$B$18*'Cash Flows'!$B$7)),IF('Cash Flows'!$B$8="",0,(EXP(-D13*'Cash Flows'!$C$8)-EXP(-D13*'Cash Flows'!$B$8))*EXP(-'Inputs'!$B$18*'Cash Flows'!$B$8)),IF('Cash Flows'!$B$9="",0,(EXP(-D13*'Cash Flows'!$C$9)-EXP(-D13*'Cash Flows'!$B$9))*EXP(-'Inputs'!$B$18*'Cash Flows'!$B$9)),IF('Cash Flows'!$B$10="",0,(EXP(-D13*'Cash Flows'!$C$10)-EXP(-D13*'Cash Flows'!$B$10))*EXP(-'Inputs'!$B$18*'Cash Flows'!$B$10)),IF('Cash Flows'!$B$11="",0,(EXP(-D13*'Cash Flows'!$C$11)-EXP(-D13*'Cash Flows'!$B$11))*EXP(-'Inputs'!$B$18*'Cash Flows'!$B$11)),IF('Cash Flows'!$B$12="",0,(EXP(-D13*'Cash Flows'!$C$12)-EXP(-D13*'Cash Flows'!$B$12))*EXP(-'Inputs'!$B$18*'Cash Flows'!$B$12)),IF('Cash Flows'!$B$13="",0,(EXP(-D13*'Cash Flows'!$C$13)-EXP(-D13*'Cash Flows'!$B$13))*EXP(-'Inputs'!$B$18*'Cash Flows'!$B$13)),IF('Cash Flows'!$B$14="",0,(EXP(-D13*'Cash Flows'!$C$14)-EXP(-D13*'Cash Flows'!$B$14))*EXP(-'Inputs'!$B$18*'Cash Flows'!$B$14)),IF('Cash Flows'!$B$15="",0,(EXP(-D13*'Cash Flows'!$C$15)-EXP(-D13*'Cash Flows'!$B$15))*EXP(-'Inputs'!$B$18*'Cash Flows'!$B$15)),IF('Cash Flows'!$B$16="",0,(EXP(-D13*'Cash Flows'!$C$16)-EXP(-D13*'Cash Flows'!$B$16))*EXP(-'Inputs'!$B$18*'Cash Flows'!$B$16)),IF('Cash Flows'!$B$17="",0,(EXP(-D13*'Cash Flows'!$C$17)-EXP(-D13*'Cash Flows'!$B$17))*EXP(-'Inputs'!$B$18*'Cash Flows'!$B$17)),IF('Cash Flows'!$B$18="",0,(EXP(-D13*'Cash Flows'!$C$18)-EXP(-D13*'Cash Flows'!$B$18))*EXP(-'Inputs'!$B$18*'Cash Flows'!$B$18)),IF('Cash Flows'!$B$19="",0,(EXP(-D13*'Cash Flows'!$C$19)-EXP(-D13*'Cash Flows'!$B$19))*EXP(-'Inputs'!$B$18*'Cash Flows'!$B$19)),IF('Cash Flows'!$B$20="",0,(EXP(-D13*'Cash Flows'!$C$20)-EXP(-D13*'Cash Flows'!$B$20))*EXP(-'Inputs'!$B$18*'Cash Flows'!$B$20)),IF('Cash Flows'!$B$21="",0,(EXP(-D13*'Cash Flows'!$C$21)-EXP(-D13*'Cash Flows'!$B$21))*EXP(-'Inputs'!$B$18*'Cash Flows'!$B$21)),IF('Cash Flows'!$B$22="",0,(EXP(-D13*'Cash Flows'!$C$22)-EXP(-D13*'Cash Flows'!$B$22))*EXP(-'Inputs'!$B$18*'Cash Flows'!$B$22)),IF('Cash Flows'!$B$23="",0,(EXP(-D13*'Cash Flows'!$C$23)-EXP(-D13*'Cash Flows'!$B$23))*EXP(-'Inputs'!$B$18*'Cash Flows'!$B$23)),IF('Cash Flows'!$B$24="",0,(EXP(-D13*'Cash Flows'!$C$24)-EXP(-D13*'Cash Flows'!$B$24))*EXP(-'Inputs'!$B$18*'Cash Flows'!$B$24)),IF('Cash Flows'!$B$25="",0,(EXP(-D13*'Cash Flows'!$C$25)-EXP(-D13*'Cash Flows'!$B$25))*EXP(-'Inputs'!$B$18*'Cash Flows'!$B$25)),IF('Cash Flows'!$B$26="",0,(EXP(-D13*'Cash Flows'!$C$26)-EXP(-D13*'Cash Flows'!$B$26))*EXP(-'Inputs'!$B$18*'Cash Flows'!$B$26)),IF('Cash Flows'!$B$27="",0,(EXP(-D13*'Cash Flows'!$C$27)-EXP(-D13*'Cash Flows'!$B$27))*EXP(-'Inputs'!$B$18*'Cash Flows'!$B$27)),IF('Cash Flows'!$B$28="",0,(EXP(-D13*'Cash Flows'!$C$28)-EXP(-D13*'Cash Flows'!$B$28))*EXP(-'Inputs'!$B$18*'Cash Flows'!$B$28)),IF('Cash Flows'!$B$29="",0,(EXP(-D13*'Cash Flows'!$C$29)-EXP(-D13*'Cash Flows'!$B$29))*EXP(-'Inputs'!$B$18*'Cash Flows'!$B$29)),IF('Cash Flows'!$B$30="",0,(EXP(-D13*'Cash Flows'!$C$30)-EXP(-D13*'Cash Flows'!$B$30))*EXP(-'Inputs'!$B$18*'Cash Flows'!$B$30)),IF('Cash Flows'!$B$31="",0,(EXP(-D13*'Cash Flows'!$C$31)-EXP(-D13*'Cash Flows'!$B$31))*EXP(-'Inputs'!$B$18*'Cash Flows'!$B$31)),IF('Cash Flows'!$B$32="",0,(EXP(-D13*'Cash Flows'!$C$32)-EXP(-D13*'Cash Flows'!$B$32))*EXP(-'Inputs'!$B$18*'Cash Flows'!$B$32)),IF('Cash Flows'!$B$33="",0,(EXP(-D13*'Cash Flows'!$C$33)-EXP(-D13*'Cash Flows'!$B$33))*EXP(-'Inputs'!$B$18*'Cash Flows'!$B$33)),IF('Cash Flows'!$B$34="",0,(EXP(-D13*'Cash Flows'!$C$34)-EXP(-D13*'Cash Flows'!$B$34))*EXP(-'Inputs'!$B$18*'Cash Flows'!$B$34)),IF('Cash Flows'!$B$35="",0,(EXP(-D13*'Cash Flows'!$C$35)-EXP(-D13*'Cash Flows'!$B$35))*EXP(-'Inputs'!$B$18*'Cash Flows'!$B$35)),IF('Cash Flows'!$B$36="",0,(EXP(-D13*'Cash Flows'!$C$36)-EXP(-D13*'Cash Flows'!$B$36))*EXP(-'Inputs'!$B$18*'Cash Flows'!$B$36)),IF('Cash Flows'!$B$37="",0,(EXP(-D13*'Cash Flows'!$C$37)-EXP(-D13*'Cash Flows'!$B$37))*EXP(-'Inputs'!$B$18*'Cash Flows'!$B$37)),IF('Cash Flows'!$B$38="",0,(EXP(-D13*'Cash Flows'!$C$38)-EXP(-D13*'Cash Flows'!$B$38))*EXP(-'Inputs'!$B$18*'Cash Flows'!$B$38)),IF('Cash Flows'!$B$39="",0,(EXP(-D13*'Cash Flows'!$C$39)-EXP(-D13*'Cash Flows'!$B$39))*EXP(-'Inputs'!$B$18*'Cash Flows'!$B$39)),IF('Cash Flows'!$B$40="",0,(EXP(-D13*'Cash Flows'!$C$40)-EXP(-D13*'Cash Flows'!$B$40))*EXP(-'Inputs'!$B$18*'Cash Flows'!$B$40)),IF('Cash Flows'!$B$41="",0,(EXP(-D13*'Cash Flows'!$C$41)-EXP(-D13*'Cash Flows'!$B$41))*EXP(-'Inputs'!$B$18*'Cash Flows'!$B$41)),IF('Cash Flows'!$B$42="",0,(EXP(-D13*'Cash Flows'!$C$42)-EXP(-D13*'Cash Flows'!$B$42))*EXP(-'Inputs'!$B$18*'Cash Flows'!$B$42)),IF('Cash Flows'!$B$43="",0,(EXP(-D13*'Cash Flows'!$C$43)-EXP(-D13*'Cash Flows'!$B$43))*EXP(-'Inputs'!$B$18*'Cash Flows'!$B$43)),IF('Cash Flows'!$B$44="",0,(EXP(-D13*'Cash Flows'!$C$44)-EXP(-D13*'Cash Flows'!$B$44))*EXP(-'Inputs'!$B$18*'Cash Flows'!$B$44)),IF('Cash Flows'!$B$45="",0,(EXP(-D13*'Cash Flows'!$C$45)-EXP(-D13*'Cash Flows'!$B$45))*EXP(-'Inputs'!$B$18*'Cash Flows'!$B$45)))</x:f>
        <x:v>0.17349844251613591</x:v>
      </x:c>
      <x:c r="J13" s="111"/>
      <x:c r="K13" s="111"/>
      <x:c r="L13" s="111"/>
      <x:c r="M13" s="111"/>
      <x:c r="N13" s="111"/>
      <x:c r="O13" s="111"/>
    </x:row>
    <x:row r="14">
      <x:c r="A14" s="129" t="str">
        <x:v>S400 / R30</x:v>
      </x:c>
      <x:c r="B14" s="136" t="n">
        <x:v>0.04</x:v>
      </x:c>
      <x:c r="C14" s="136" t="n">
        <x:v>0.3</x:v>
      </x:c>
      <x:c r="D14" s="136" t="n">
        <x:f>IF(C14&lt;1,B14/(1-C14),0)</x:f>
        <x:v>0.05714285714285715</x:v>
      </x:c>
      <x:c r="E14" s="136" t="n">
        <x:f>1-EXP(-D14*'Inputs'!$B$10)</x:f>
        <x:v>0.24852270692471412</x:v>
      </x:c>
      <x:c r="F14" s="136" t="n">
        <x:f>'Inputs'!$B$35/'Inputs'!$B$9*H14+MAX(0,C14-IF('Inputs'!$B$6="REPACK",'Inputs'!$B$21,0))*I14+EXP(-D14*'Inputs'!$B$10)*EXP(-'Inputs'!$B$18*'Inputs'!$B$10)</x:f>
        <x:v>0.9567207578587371</x:v>
      </x:c>
      <x:c r="G14" s="136" t="n">
        <x:f>IF(H14&gt;0,IF('Inputs'!$B$6="CLN",('Inputs'!$B$11-MAX(0,C14-IF('Inputs'!$B$6="REPACK",'Inputs'!$B$21,0))*I14-EXP(-D14*'Inputs'!$B$10)*EXP(-'Inputs'!$B$18*'Inputs'!$B$10))/(H14/'Inputs'!$B$9),('Inputs'!$B$11-'Inputs'!$B$29+'Inputs'!$B$28/'Inputs'!$B$9*H14+C14*I14+EXP(-D14*'Inputs'!$B$10)*EXP(-'Inputs'!$B$18*'Inputs'!$B$10)-MAX(0,C14-IF('Inputs'!$B$6="REPACK",'Inputs'!$B$21,0))*I14-EXP(-D14*'Inputs'!$B$10)*EXP(-'Inputs'!$B$18*'Inputs'!$B$10)-('Inputs'!$B$30+'Inputs'!$B$31)/'Inputs'!$B$9*H14)/(H14/'Inputs'!$B$9)),"")</x:f>
        <x:v>0.08362842317185397</x:v>
      </x:c>
      <x:c r="H14" s="157" t="n">
        <x:f>SUM(IF('Cash Flows'!$B$6="",0,EXP(-D14*'Cash Flows'!$B$6)*EXP(-'Inputs'!$B$18*'Cash Flows'!$B$6)),IF('Cash Flows'!$B$7="",0,EXP(-D14*'Cash Flows'!$B$7)*EXP(-'Inputs'!$B$18*'Cash Flows'!$B$7)),IF('Cash Flows'!$B$8="",0,EXP(-D14*'Cash Flows'!$B$8)*EXP(-'Inputs'!$B$18*'Cash Flows'!$B$8)),IF('Cash Flows'!$B$9="",0,EXP(-D14*'Cash Flows'!$B$9)*EXP(-'Inputs'!$B$18*'Cash Flows'!$B$9)),IF('Cash Flows'!$B$10="",0,EXP(-D14*'Cash Flows'!$B$10)*EXP(-'Inputs'!$B$18*'Cash Flows'!$B$10)),IF('Cash Flows'!$B$11="",0,EXP(-D14*'Cash Flows'!$B$11)*EXP(-'Inputs'!$B$18*'Cash Flows'!$B$11)),IF('Cash Flows'!$B$12="",0,EXP(-D14*'Cash Flows'!$B$12)*EXP(-'Inputs'!$B$18*'Cash Flows'!$B$12)),IF('Cash Flows'!$B$13="",0,EXP(-D14*'Cash Flows'!$B$13)*EXP(-'Inputs'!$B$18*'Cash Flows'!$B$13)),IF('Cash Flows'!$B$14="",0,EXP(-D14*'Cash Flows'!$B$14)*EXP(-'Inputs'!$B$18*'Cash Flows'!$B$14)),IF('Cash Flows'!$B$15="",0,EXP(-D14*'Cash Flows'!$B$15)*EXP(-'Inputs'!$B$18*'Cash Flows'!$B$15)),IF('Cash Flows'!$B$16="",0,EXP(-D14*'Cash Flows'!$B$16)*EXP(-'Inputs'!$B$18*'Cash Flows'!$B$16)),IF('Cash Flows'!$B$17="",0,EXP(-D14*'Cash Flows'!$B$17)*EXP(-'Inputs'!$B$18*'Cash Flows'!$B$17)),IF('Cash Flows'!$B$18="",0,EXP(-D14*'Cash Flows'!$B$18)*EXP(-'Inputs'!$B$18*'Cash Flows'!$B$18)),IF('Cash Flows'!$B$19="",0,EXP(-D14*'Cash Flows'!$B$19)*EXP(-'Inputs'!$B$18*'Cash Flows'!$B$19)),IF('Cash Flows'!$B$20="",0,EXP(-D14*'Cash Flows'!$B$20)*EXP(-'Inputs'!$B$18*'Cash Flows'!$B$20)),IF('Cash Flows'!$B$21="",0,EXP(-D14*'Cash Flows'!$B$21)*EXP(-'Inputs'!$B$18*'Cash Flows'!$B$21)),IF('Cash Flows'!$B$22="",0,EXP(-D14*'Cash Flows'!$B$22)*EXP(-'Inputs'!$B$18*'Cash Flows'!$B$22)),IF('Cash Flows'!$B$23="",0,EXP(-D14*'Cash Flows'!$B$23)*EXP(-'Inputs'!$B$18*'Cash Flows'!$B$23)),IF('Cash Flows'!$B$24="",0,EXP(-D14*'Cash Flows'!$B$24)*EXP(-'Inputs'!$B$18*'Cash Flows'!$B$24)),IF('Cash Flows'!$B$25="",0,EXP(-D14*'Cash Flows'!$B$25)*EXP(-'Inputs'!$B$18*'Cash Flows'!$B$25)),IF('Cash Flows'!$B$26="",0,EXP(-D14*'Cash Flows'!$B$26)*EXP(-'Inputs'!$B$18*'Cash Flows'!$B$26)),IF('Cash Flows'!$B$27="",0,EXP(-D14*'Cash Flows'!$B$27)*EXP(-'Inputs'!$B$18*'Cash Flows'!$B$27)),IF('Cash Flows'!$B$28="",0,EXP(-D14*'Cash Flows'!$B$28)*EXP(-'Inputs'!$B$18*'Cash Flows'!$B$28)),IF('Cash Flows'!$B$29="",0,EXP(-D14*'Cash Flows'!$B$29)*EXP(-'Inputs'!$B$18*'Cash Flows'!$B$29)),IF('Cash Flows'!$B$30="",0,EXP(-D14*'Cash Flows'!$B$30)*EXP(-'Inputs'!$B$18*'Cash Flows'!$B$30)),IF('Cash Flows'!$B$31="",0,EXP(-D14*'Cash Flows'!$B$31)*EXP(-'Inputs'!$B$18*'Cash Flows'!$B$31)),IF('Cash Flows'!$B$32="",0,EXP(-D14*'Cash Flows'!$B$32)*EXP(-'Inputs'!$B$18*'Cash Flows'!$B$32)),IF('Cash Flows'!$B$33="",0,EXP(-D14*'Cash Flows'!$B$33)*EXP(-'Inputs'!$B$18*'Cash Flows'!$B$33)),IF('Cash Flows'!$B$34="",0,EXP(-D14*'Cash Flows'!$B$34)*EXP(-'Inputs'!$B$18*'Cash Flows'!$B$34)),IF('Cash Flows'!$B$35="",0,EXP(-D14*'Cash Flows'!$B$35)*EXP(-'Inputs'!$B$18*'Cash Flows'!$B$35)),IF('Cash Flows'!$B$36="",0,EXP(-D14*'Cash Flows'!$B$36)*EXP(-'Inputs'!$B$18*'Cash Flows'!$B$36)),IF('Cash Flows'!$B$37="",0,EXP(-D14*'Cash Flows'!$B$37)*EXP(-'Inputs'!$B$18*'Cash Flows'!$B$37)),IF('Cash Flows'!$B$38="",0,EXP(-D14*'Cash Flows'!$B$38)*EXP(-'Inputs'!$B$18*'Cash Flows'!$B$38)),IF('Cash Flows'!$B$39="",0,EXP(-D14*'Cash Flows'!$B$39)*EXP(-'Inputs'!$B$18*'Cash Flows'!$B$39)),IF('Cash Flows'!$B$40="",0,EXP(-D14*'Cash Flows'!$B$40)*EXP(-'Inputs'!$B$18*'Cash Flows'!$B$40)),IF('Cash Flows'!$B$41="",0,EXP(-D14*'Cash Flows'!$B$41)*EXP(-'Inputs'!$B$18*'Cash Flows'!$B$41)),IF('Cash Flows'!$B$42="",0,EXP(-D14*'Cash Flows'!$B$42)*EXP(-'Inputs'!$B$18*'Cash Flows'!$B$42)),IF('Cash Flows'!$B$43="",0,EXP(-D14*'Cash Flows'!$B$43)*EXP(-'Inputs'!$B$18*'Cash Flows'!$B$43)),IF('Cash Flows'!$B$44="",0,EXP(-D14*'Cash Flows'!$B$44)*EXP(-'Inputs'!$B$18*'Cash Flows'!$B$44)),IF('Cash Flows'!$B$45="",0,EXP(-D14*'Cash Flows'!$B$45)*EXP(-'Inputs'!$B$18*'Cash Flows'!$B$45)))</x:f>
        <x:v>15.556289142822948</x:v>
      </x:c>
      <x:c r="I14" s="158" t="n">
        <x:f>SUM(IF('Cash Flows'!$B$6="",0,(EXP(-D14*'Cash Flows'!$C$6)-EXP(-D14*'Cash Flows'!$B$6))*EXP(-'Inputs'!$B$18*'Cash Flows'!$B$6)),IF('Cash Flows'!$B$7="",0,(EXP(-D14*'Cash Flows'!$C$7)-EXP(-D14*'Cash Flows'!$B$7))*EXP(-'Inputs'!$B$18*'Cash Flows'!$B$7)),IF('Cash Flows'!$B$8="",0,(EXP(-D14*'Cash Flows'!$C$8)-EXP(-D14*'Cash Flows'!$B$8))*EXP(-'Inputs'!$B$18*'Cash Flows'!$B$8)),IF('Cash Flows'!$B$9="",0,(EXP(-D14*'Cash Flows'!$C$9)-EXP(-D14*'Cash Flows'!$B$9))*EXP(-'Inputs'!$B$18*'Cash Flows'!$B$9)),IF('Cash Flows'!$B$10="",0,(EXP(-D14*'Cash Flows'!$C$10)-EXP(-D14*'Cash Flows'!$B$10))*EXP(-'Inputs'!$B$18*'Cash Flows'!$B$10)),IF('Cash Flows'!$B$11="",0,(EXP(-D14*'Cash Flows'!$C$11)-EXP(-D14*'Cash Flows'!$B$11))*EXP(-'Inputs'!$B$18*'Cash Flows'!$B$11)),IF('Cash Flows'!$B$12="",0,(EXP(-D14*'Cash Flows'!$C$12)-EXP(-D14*'Cash Flows'!$B$12))*EXP(-'Inputs'!$B$18*'Cash Flows'!$B$12)),IF('Cash Flows'!$B$13="",0,(EXP(-D14*'Cash Flows'!$C$13)-EXP(-D14*'Cash Flows'!$B$13))*EXP(-'Inputs'!$B$18*'Cash Flows'!$B$13)),IF('Cash Flows'!$B$14="",0,(EXP(-D14*'Cash Flows'!$C$14)-EXP(-D14*'Cash Flows'!$B$14))*EXP(-'Inputs'!$B$18*'Cash Flows'!$B$14)),IF('Cash Flows'!$B$15="",0,(EXP(-D14*'Cash Flows'!$C$15)-EXP(-D14*'Cash Flows'!$B$15))*EXP(-'Inputs'!$B$18*'Cash Flows'!$B$15)),IF('Cash Flows'!$B$16="",0,(EXP(-D14*'Cash Flows'!$C$16)-EXP(-D14*'Cash Flows'!$B$16))*EXP(-'Inputs'!$B$18*'Cash Flows'!$B$16)),IF('Cash Flows'!$B$17="",0,(EXP(-D14*'Cash Flows'!$C$17)-EXP(-D14*'Cash Flows'!$B$17))*EXP(-'Inputs'!$B$18*'Cash Flows'!$B$17)),IF('Cash Flows'!$B$18="",0,(EXP(-D14*'Cash Flows'!$C$18)-EXP(-D14*'Cash Flows'!$B$18))*EXP(-'Inputs'!$B$18*'Cash Flows'!$B$18)),IF('Cash Flows'!$B$19="",0,(EXP(-D14*'Cash Flows'!$C$19)-EXP(-D14*'Cash Flows'!$B$19))*EXP(-'Inputs'!$B$18*'Cash Flows'!$B$19)),IF('Cash Flows'!$B$20="",0,(EXP(-D14*'Cash Flows'!$C$20)-EXP(-D14*'Cash Flows'!$B$20))*EXP(-'Inputs'!$B$18*'Cash Flows'!$B$20)),IF('Cash Flows'!$B$21="",0,(EXP(-D14*'Cash Flows'!$C$21)-EXP(-D14*'Cash Flows'!$B$21))*EXP(-'Inputs'!$B$18*'Cash Flows'!$B$21)),IF('Cash Flows'!$B$22="",0,(EXP(-D14*'Cash Flows'!$C$22)-EXP(-D14*'Cash Flows'!$B$22))*EXP(-'Inputs'!$B$18*'Cash Flows'!$B$22)),IF('Cash Flows'!$B$23="",0,(EXP(-D14*'Cash Flows'!$C$23)-EXP(-D14*'Cash Flows'!$B$23))*EXP(-'Inputs'!$B$18*'Cash Flows'!$B$23)),IF('Cash Flows'!$B$24="",0,(EXP(-D14*'Cash Flows'!$C$24)-EXP(-D14*'Cash Flows'!$B$24))*EXP(-'Inputs'!$B$18*'Cash Flows'!$B$24)),IF('Cash Flows'!$B$25="",0,(EXP(-D14*'Cash Flows'!$C$25)-EXP(-D14*'Cash Flows'!$B$25))*EXP(-'Inputs'!$B$18*'Cash Flows'!$B$25)),IF('Cash Flows'!$B$26="",0,(EXP(-D14*'Cash Flows'!$C$26)-EXP(-D14*'Cash Flows'!$B$26))*EXP(-'Inputs'!$B$18*'Cash Flows'!$B$26)),IF('Cash Flows'!$B$27="",0,(EXP(-D14*'Cash Flows'!$C$27)-EXP(-D14*'Cash Flows'!$B$27))*EXP(-'Inputs'!$B$18*'Cash Flows'!$B$27)),IF('Cash Flows'!$B$28="",0,(EXP(-D14*'Cash Flows'!$C$28)-EXP(-D14*'Cash Flows'!$B$28))*EXP(-'Inputs'!$B$18*'Cash Flows'!$B$28)),IF('Cash Flows'!$B$29="",0,(EXP(-D14*'Cash Flows'!$C$29)-EXP(-D14*'Cash Flows'!$B$29))*EXP(-'Inputs'!$B$18*'Cash Flows'!$B$29)),IF('Cash Flows'!$B$30="",0,(EXP(-D14*'Cash Flows'!$C$30)-EXP(-D14*'Cash Flows'!$B$30))*EXP(-'Inputs'!$B$18*'Cash Flows'!$B$30)),IF('Cash Flows'!$B$31="",0,(EXP(-D14*'Cash Flows'!$C$31)-EXP(-D14*'Cash Flows'!$B$31))*EXP(-'Inputs'!$B$18*'Cash Flows'!$B$31)),IF('Cash Flows'!$B$32="",0,(EXP(-D14*'Cash Flows'!$C$32)-EXP(-D14*'Cash Flows'!$B$32))*EXP(-'Inputs'!$B$18*'Cash Flows'!$B$32)),IF('Cash Flows'!$B$33="",0,(EXP(-D14*'Cash Flows'!$C$33)-EXP(-D14*'Cash Flows'!$B$33))*EXP(-'Inputs'!$B$18*'Cash Flows'!$B$33)),IF('Cash Flows'!$B$34="",0,(EXP(-D14*'Cash Flows'!$C$34)-EXP(-D14*'Cash Flows'!$B$34))*EXP(-'Inputs'!$B$18*'Cash Flows'!$B$34)),IF('Cash Flows'!$B$35="",0,(EXP(-D14*'Cash Flows'!$C$35)-EXP(-D14*'Cash Flows'!$B$35))*EXP(-'Inputs'!$B$18*'Cash Flows'!$B$35)),IF('Cash Flows'!$B$36="",0,(EXP(-D14*'Cash Flows'!$C$36)-EXP(-D14*'Cash Flows'!$B$36))*EXP(-'Inputs'!$B$18*'Cash Flows'!$B$36)),IF('Cash Flows'!$B$37="",0,(EXP(-D14*'Cash Flows'!$C$37)-EXP(-D14*'Cash Flows'!$B$37))*EXP(-'Inputs'!$B$18*'Cash Flows'!$B$37)),IF('Cash Flows'!$B$38="",0,(EXP(-D14*'Cash Flows'!$C$38)-EXP(-D14*'Cash Flows'!$B$38))*EXP(-'Inputs'!$B$18*'Cash Flows'!$B$38)),IF('Cash Flows'!$B$39="",0,(EXP(-D14*'Cash Flows'!$C$39)-EXP(-D14*'Cash Flows'!$B$39))*EXP(-'Inputs'!$B$18*'Cash Flows'!$B$39)),IF('Cash Flows'!$B$40="",0,(EXP(-D14*'Cash Flows'!$C$40)-EXP(-D14*'Cash Flows'!$B$40))*EXP(-'Inputs'!$B$18*'Cash Flows'!$B$40)),IF('Cash Flows'!$B$41="",0,(EXP(-D14*'Cash Flows'!$C$41)-EXP(-D14*'Cash Flows'!$B$41))*EXP(-'Inputs'!$B$18*'Cash Flows'!$B$41)),IF('Cash Flows'!$B$42="",0,(EXP(-D14*'Cash Flows'!$C$42)-EXP(-D14*'Cash Flows'!$B$42))*EXP(-'Inputs'!$B$18*'Cash Flows'!$B$42)),IF('Cash Flows'!$B$43="",0,(EXP(-D14*'Cash Flows'!$C$43)-EXP(-D14*'Cash Flows'!$B$43))*EXP(-'Inputs'!$B$18*'Cash Flows'!$B$43)),IF('Cash Flows'!$B$44="",0,(EXP(-D14*'Cash Flows'!$C$44)-EXP(-D14*'Cash Flows'!$B$44))*EXP(-'Inputs'!$B$18*'Cash Flows'!$B$44)),IF('Cash Flows'!$B$45="",0,(EXP(-D14*'Cash Flows'!$C$45)-EXP(-D14*'Cash Flows'!$B$45))*EXP(-'Inputs'!$B$18*'Cash Flows'!$B$45)))</x:f>
        <x:v>0.22382766449243066</x:v>
      </x:c>
      <x:c r="J14" s="160" t="str">
        <x:v>READING THE GRID</x:v>
      </x:c>
      <x:c r="K14" s="160"/>
      <x:c r="L14" s="160"/>
      <x:c r="M14" s="160"/>
      <x:c r="N14" s="160"/>
      <x:c r="O14" s="160"/>
    </x:row>
    <x:row r="15" ht="24" customHeight="1">
      <x:c r="A15" s="129" t="str">
        <x:v>S600 / R30</x:v>
      </x:c>
      <x:c r="B15" s="136" t="n">
        <x:v>0.06</x:v>
      </x:c>
      <x:c r="C15" s="136" t="n">
        <x:v>0.3</x:v>
      </x:c>
      <x:c r="D15" s="136" t="n">
        <x:f>IF(C15&lt;1,B15/(1-C15),0)</x:f>
        <x:v>0.08571428571428572</x:v>
      </x:c>
      <x:c r="E15" s="136" t="n">
        <x:f>1-EXP(-D15*'Inputs'!$B$10)</x:f>
        <x:v>0.3485609424689444</x:v>
      </x:c>
      <x:c r="F15" s="136" t="n">
        <x:f>'Inputs'!$B$35/'Inputs'!$B$9*H15+MAX(0,C15-IF('Inputs'!$B$6="REPACK",'Inputs'!$B$21,0))*I15+EXP(-D15*'Inputs'!$B$10)*EXP(-'Inputs'!$B$18*'Inputs'!$B$10)</x:f>
        <x:v>0.8844909404605491</x:v>
      </x:c>
      <x:c r="G15" s="136" t="n">
        <x:f>IF(H15&gt;0,IF('Inputs'!$B$6="CLN",('Inputs'!$B$11-MAX(0,C15-IF('Inputs'!$B$6="REPACK",'Inputs'!$B$21,0))*I15-EXP(-D15*'Inputs'!$B$10)*EXP(-'Inputs'!$B$18*'Inputs'!$B$10))/(H15/'Inputs'!$B$9),('Inputs'!$B$11-'Inputs'!$B$29+'Inputs'!$B$28/'Inputs'!$B$9*H15+C15*I15+EXP(-D15*'Inputs'!$B$10)*EXP(-'Inputs'!$B$18*'Inputs'!$B$10)-MAX(0,C15-IF('Inputs'!$B$6="REPACK",'Inputs'!$B$21,0))*I15-EXP(-D15*'Inputs'!$B$10)*EXP(-'Inputs'!$B$18*'Inputs'!$B$10)-('Inputs'!$B$30+'Inputs'!$B$31)/'Inputs'!$B$9*H15)/(H15/'Inputs'!$B$9)),"")</x:f>
        <x:v>0.10429950646193338</x:v>
      </x:c>
      <x:c r="H15" s="157" t="n">
        <x:f>SUM(IF('Cash Flows'!$B$6="",0,EXP(-D15*'Cash Flows'!$B$6)*EXP(-'Inputs'!$B$18*'Cash Flows'!$B$6)),IF('Cash Flows'!$B$7="",0,EXP(-D15*'Cash Flows'!$B$7)*EXP(-'Inputs'!$B$18*'Cash Flows'!$B$7)),IF('Cash Flows'!$B$8="",0,EXP(-D15*'Cash Flows'!$B$8)*EXP(-'Inputs'!$B$18*'Cash Flows'!$B$8)),IF('Cash Flows'!$B$9="",0,EXP(-D15*'Cash Flows'!$B$9)*EXP(-'Inputs'!$B$18*'Cash Flows'!$B$9)),IF('Cash Flows'!$B$10="",0,EXP(-D15*'Cash Flows'!$B$10)*EXP(-'Inputs'!$B$18*'Cash Flows'!$B$10)),IF('Cash Flows'!$B$11="",0,EXP(-D15*'Cash Flows'!$B$11)*EXP(-'Inputs'!$B$18*'Cash Flows'!$B$11)),IF('Cash Flows'!$B$12="",0,EXP(-D15*'Cash Flows'!$B$12)*EXP(-'Inputs'!$B$18*'Cash Flows'!$B$12)),IF('Cash Flows'!$B$13="",0,EXP(-D15*'Cash Flows'!$B$13)*EXP(-'Inputs'!$B$18*'Cash Flows'!$B$13)),IF('Cash Flows'!$B$14="",0,EXP(-D15*'Cash Flows'!$B$14)*EXP(-'Inputs'!$B$18*'Cash Flows'!$B$14)),IF('Cash Flows'!$B$15="",0,EXP(-D15*'Cash Flows'!$B$15)*EXP(-'Inputs'!$B$18*'Cash Flows'!$B$15)),IF('Cash Flows'!$B$16="",0,EXP(-D15*'Cash Flows'!$B$16)*EXP(-'Inputs'!$B$18*'Cash Flows'!$B$16)),IF('Cash Flows'!$B$17="",0,EXP(-D15*'Cash Flows'!$B$17)*EXP(-'Inputs'!$B$18*'Cash Flows'!$B$17)),IF('Cash Flows'!$B$18="",0,EXP(-D15*'Cash Flows'!$B$18)*EXP(-'Inputs'!$B$18*'Cash Flows'!$B$18)),IF('Cash Flows'!$B$19="",0,EXP(-D15*'Cash Flows'!$B$19)*EXP(-'Inputs'!$B$18*'Cash Flows'!$B$19)),IF('Cash Flows'!$B$20="",0,EXP(-D15*'Cash Flows'!$B$20)*EXP(-'Inputs'!$B$18*'Cash Flows'!$B$20)),IF('Cash Flows'!$B$21="",0,EXP(-D15*'Cash Flows'!$B$21)*EXP(-'Inputs'!$B$18*'Cash Flows'!$B$21)),IF('Cash Flows'!$B$22="",0,EXP(-D15*'Cash Flows'!$B$22)*EXP(-'Inputs'!$B$18*'Cash Flows'!$B$22)),IF('Cash Flows'!$B$23="",0,EXP(-D15*'Cash Flows'!$B$23)*EXP(-'Inputs'!$B$18*'Cash Flows'!$B$23)),IF('Cash Flows'!$B$24="",0,EXP(-D15*'Cash Flows'!$B$24)*EXP(-'Inputs'!$B$18*'Cash Flows'!$B$24)),IF('Cash Flows'!$B$25="",0,EXP(-D15*'Cash Flows'!$B$25)*EXP(-'Inputs'!$B$18*'Cash Flows'!$B$25)),IF('Cash Flows'!$B$26="",0,EXP(-D15*'Cash Flows'!$B$26)*EXP(-'Inputs'!$B$18*'Cash Flows'!$B$26)),IF('Cash Flows'!$B$27="",0,EXP(-D15*'Cash Flows'!$B$27)*EXP(-'Inputs'!$B$18*'Cash Flows'!$B$27)),IF('Cash Flows'!$B$28="",0,EXP(-D15*'Cash Flows'!$B$28)*EXP(-'Inputs'!$B$18*'Cash Flows'!$B$28)),IF('Cash Flows'!$B$29="",0,EXP(-D15*'Cash Flows'!$B$29)*EXP(-'Inputs'!$B$18*'Cash Flows'!$B$29)),IF('Cash Flows'!$B$30="",0,EXP(-D15*'Cash Flows'!$B$30)*EXP(-'Inputs'!$B$18*'Cash Flows'!$B$30)),IF('Cash Flows'!$B$31="",0,EXP(-D15*'Cash Flows'!$B$31)*EXP(-'Inputs'!$B$18*'Cash Flows'!$B$31)),IF('Cash Flows'!$B$32="",0,EXP(-D15*'Cash Flows'!$B$32)*EXP(-'Inputs'!$B$18*'Cash Flows'!$B$32)),IF('Cash Flows'!$B$33="",0,EXP(-D15*'Cash Flows'!$B$33)*EXP(-'Inputs'!$B$18*'Cash Flows'!$B$33)),IF('Cash Flows'!$B$34="",0,EXP(-D15*'Cash Flows'!$B$34)*EXP(-'Inputs'!$B$18*'Cash Flows'!$B$34)),IF('Cash Flows'!$B$35="",0,EXP(-D15*'Cash Flows'!$B$35)*EXP(-'Inputs'!$B$18*'Cash Flows'!$B$35)),IF('Cash Flows'!$B$36="",0,EXP(-D15*'Cash Flows'!$B$36)*EXP(-'Inputs'!$B$18*'Cash Flows'!$B$36)),IF('Cash Flows'!$B$37="",0,EXP(-D15*'Cash Flows'!$B$37)*EXP(-'Inputs'!$B$18*'Cash Flows'!$B$37)),IF('Cash Flows'!$B$38="",0,EXP(-D15*'Cash Flows'!$B$38)*EXP(-'Inputs'!$B$18*'Cash Flows'!$B$38)),IF('Cash Flows'!$B$39="",0,EXP(-D15*'Cash Flows'!$B$39)*EXP(-'Inputs'!$B$18*'Cash Flows'!$B$39)),IF('Cash Flows'!$B$40="",0,EXP(-D15*'Cash Flows'!$B$40)*EXP(-'Inputs'!$B$18*'Cash Flows'!$B$40)),IF('Cash Flows'!$B$41="",0,EXP(-D15*'Cash Flows'!$B$41)*EXP(-'Inputs'!$B$18*'Cash Flows'!$B$41)),IF('Cash Flows'!$B$42="",0,EXP(-D15*'Cash Flows'!$B$42)*EXP(-'Inputs'!$B$18*'Cash Flows'!$B$42)),IF('Cash Flows'!$B$43="",0,EXP(-D15*'Cash Flows'!$B$43)*EXP(-'Inputs'!$B$18*'Cash Flows'!$B$43)),IF('Cash Flows'!$B$44="",0,EXP(-D15*'Cash Flows'!$B$44)*EXP(-'Inputs'!$B$18*'Cash Flows'!$B$44)),IF('Cash Flows'!$B$45="",0,EXP(-D15*'Cash Flows'!$B$45)*EXP(-'Inputs'!$B$18*'Cash Flows'!$B$45)))</x:f>
        <x:v>14.529666952878614</x:v>
      </x:c>
      <x:c r="I15" s="158" t="n">
        <x:f>SUM(IF('Cash Flows'!$B$6="",0,(EXP(-D15*'Cash Flows'!$C$6)-EXP(-D15*'Cash Flows'!$B$6))*EXP(-'Inputs'!$B$18*'Cash Flows'!$B$6)),IF('Cash Flows'!$B$7="",0,(EXP(-D15*'Cash Flows'!$C$7)-EXP(-D15*'Cash Flows'!$B$7))*EXP(-'Inputs'!$B$18*'Cash Flows'!$B$7)),IF('Cash Flows'!$B$8="",0,(EXP(-D15*'Cash Flows'!$C$8)-EXP(-D15*'Cash Flows'!$B$8))*EXP(-'Inputs'!$B$18*'Cash Flows'!$B$8)),IF('Cash Flows'!$B$9="",0,(EXP(-D15*'Cash Flows'!$C$9)-EXP(-D15*'Cash Flows'!$B$9))*EXP(-'Inputs'!$B$18*'Cash Flows'!$B$9)),IF('Cash Flows'!$B$10="",0,(EXP(-D15*'Cash Flows'!$C$10)-EXP(-D15*'Cash Flows'!$B$10))*EXP(-'Inputs'!$B$18*'Cash Flows'!$B$10)),IF('Cash Flows'!$B$11="",0,(EXP(-D15*'Cash Flows'!$C$11)-EXP(-D15*'Cash Flows'!$B$11))*EXP(-'Inputs'!$B$18*'Cash Flows'!$B$11)),IF('Cash Flows'!$B$12="",0,(EXP(-D15*'Cash Flows'!$C$12)-EXP(-D15*'Cash Flows'!$B$12))*EXP(-'Inputs'!$B$18*'Cash Flows'!$B$12)),IF('Cash Flows'!$B$13="",0,(EXP(-D15*'Cash Flows'!$C$13)-EXP(-D15*'Cash Flows'!$B$13))*EXP(-'Inputs'!$B$18*'Cash Flows'!$B$13)),IF('Cash Flows'!$B$14="",0,(EXP(-D15*'Cash Flows'!$C$14)-EXP(-D15*'Cash Flows'!$B$14))*EXP(-'Inputs'!$B$18*'Cash Flows'!$B$14)),IF('Cash Flows'!$B$15="",0,(EXP(-D15*'Cash Flows'!$C$15)-EXP(-D15*'Cash Flows'!$B$15))*EXP(-'Inputs'!$B$18*'Cash Flows'!$B$15)),IF('Cash Flows'!$B$16="",0,(EXP(-D15*'Cash Flows'!$C$16)-EXP(-D15*'Cash Flows'!$B$16))*EXP(-'Inputs'!$B$18*'Cash Flows'!$B$16)),IF('Cash Flows'!$B$17="",0,(EXP(-D15*'Cash Flows'!$C$17)-EXP(-D15*'Cash Flows'!$B$17))*EXP(-'Inputs'!$B$18*'Cash Flows'!$B$17)),IF('Cash Flows'!$B$18="",0,(EXP(-D15*'Cash Flows'!$C$18)-EXP(-D15*'Cash Flows'!$B$18))*EXP(-'Inputs'!$B$18*'Cash Flows'!$B$18)),IF('Cash Flows'!$B$19="",0,(EXP(-D15*'Cash Flows'!$C$19)-EXP(-D15*'Cash Flows'!$B$19))*EXP(-'Inputs'!$B$18*'Cash Flows'!$B$19)),IF('Cash Flows'!$B$20="",0,(EXP(-D15*'Cash Flows'!$C$20)-EXP(-D15*'Cash Flows'!$B$20))*EXP(-'Inputs'!$B$18*'Cash Flows'!$B$20)),IF('Cash Flows'!$B$21="",0,(EXP(-D15*'Cash Flows'!$C$21)-EXP(-D15*'Cash Flows'!$B$21))*EXP(-'Inputs'!$B$18*'Cash Flows'!$B$21)),IF('Cash Flows'!$B$22="",0,(EXP(-D15*'Cash Flows'!$C$22)-EXP(-D15*'Cash Flows'!$B$22))*EXP(-'Inputs'!$B$18*'Cash Flows'!$B$22)),IF('Cash Flows'!$B$23="",0,(EXP(-D15*'Cash Flows'!$C$23)-EXP(-D15*'Cash Flows'!$B$23))*EXP(-'Inputs'!$B$18*'Cash Flows'!$B$23)),IF('Cash Flows'!$B$24="",0,(EXP(-D15*'Cash Flows'!$C$24)-EXP(-D15*'Cash Flows'!$B$24))*EXP(-'Inputs'!$B$18*'Cash Flows'!$B$24)),IF('Cash Flows'!$B$25="",0,(EXP(-D15*'Cash Flows'!$C$25)-EXP(-D15*'Cash Flows'!$B$25))*EXP(-'Inputs'!$B$18*'Cash Flows'!$B$25)),IF('Cash Flows'!$B$26="",0,(EXP(-D15*'Cash Flows'!$C$26)-EXP(-D15*'Cash Flows'!$B$26))*EXP(-'Inputs'!$B$18*'Cash Flows'!$B$26)),IF('Cash Flows'!$B$27="",0,(EXP(-D15*'Cash Flows'!$C$27)-EXP(-D15*'Cash Flows'!$B$27))*EXP(-'Inputs'!$B$18*'Cash Flows'!$B$27)),IF('Cash Flows'!$B$28="",0,(EXP(-D15*'Cash Flows'!$C$28)-EXP(-D15*'Cash Flows'!$B$28))*EXP(-'Inputs'!$B$18*'Cash Flows'!$B$28)),IF('Cash Flows'!$B$29="",0,(EXP(-D15*'Cash Flows'!$C$29)-EXP(-D15*'Cash Flows'!$B$29))*EXP(-'Inputs'!$B$18*'Cash Flows'!$B$29)),IF('Cash Flows'!$B$30="",0,(EXP(-D15*'Cash Flows'!$C$30)-EXP(-D15*'Cash Flows'!$B$30))*EXP(-'Inputs'!$B$18*'Cash Flows'!$B$30)),IF('Cash Flows'!$B$31="",0,(EXP(-D15*'Cash Flows'!$C$31)-EXP(-D15*'Cash Flows'!$B$31))*EXP(-'Inputs'!$B$18*'Cash Flows'!$B$31)),IF('Cash Flows'!$B$32="",0,(EXP(-D15*'Cash Flows'!$C$32)-EXP(-D15*'Cash Flows'!$B$32))*EXP(-'Inputs'!$B$18*'Cash Flows'!$B$32)),IF('Cash Flows'!$B$33="",0,(EXP(-D15*'Cash Flows'!$C$33)-EXP(-D15*'Cash Flows'!$B$33))*EXP(-'Inputs'!$B$18*'Cash Flows'!$B$33)),IF('Cash Flows'!$B$34="",0,(EXP(-D15*'Cash Flows'!$C$34)-EXP(-D15*'Cash Flows'!$B$34))*EXP(-'Inputs'!$B$18*'Cash Flows'!$B$34)),IF('Cash Flows'!$B$35="",0,(EXP(-D15*'Cash Flows'!$C$35)-EXP(-D15*'Cash Flows'!$B$35))*EXP(-'Inputs'!$B$18*'Cash Flows'!$B$35)),IF('Cash Flows'!$B$36="",0,(EXP(-D15*'Cash Flows'!$C$36)-EXP(-D15*'Cash Flows'!$B$36))*EXP(-'Inputs'!$B$18*'Cash Flows'!$B$36)),IF('Cash Flows'!$B$37="",0,(EXP(-D15*'Cash Flows'!$C$37)-EXP(-D15*'Cash Flows'!$B$37))*EXP(-'Inputs'!$B$18*'Cash Flows'!$B$37)),IF('Cash Flows'!$B$38="",0,(EXP(-D15*'Cash Flows'!$C$38)-EXP(-D15*'Cash Flows'!$B$38))*EXP(-'Inputs'!$B$18*'Cash Flows'!$B$38)),IF('Cash Flows'!$B$39="",0,(EXP(-D15*'Cash Flows'!$C$39)-EXP(-D15*'Cash Flows'!$B$39))*EXP(-'Inputs'!$B$18*'Cash Flows'!$B$39)),IF('Cash Flows'!$B$40="",0,(EXP(-D15*'Cash Flows'!$C$40)-EXP(-D15*'Cash Flows'!$B$40))*EXP(-'Inputs'!$B$18*'Cash Flows'!$B$40)),IF('Cash Flows'!$B$41="",0,(EXP(-D15*'Cash Flows'!$C$41)-EXP(-D15*'Cash Flows'!$B$41))*EXP(-'Inputs'!$B$18*'Cash Flows'!$B$41)),IF('Cash Flows'!$B$42="",0,(EXP(-D15*'Cash Flows'!$C$42)-EXP(-D15*'Cash Flows'!$B$42))*EXP(-'Inputs'!$B$18*'Cash Flows'!$B$42)),IF('Cash Flows'!$B$43="",0,(EXP(-D15*'Cash Flows'!$C$43)-EXP(-D15*'Cash Flows'!$B$43))*EXP(-'Inputs'!$B$18*'Cash Flows'!$B$43)),IF('Cash Flows'!$B$44="",0,(EXP(-D15*'Cash Flows'!$C$44)-EXP(-D15*'Cash Flows'!$B$44))*EXP(-'Inputs'!$B$18*'Cash Flows'!$B$44)),IF('Cash Flows'!$B$45="",0,(EXP(-D15*'Cash Flows'!$C$45)-EXP(-D15*'Cash Flows'!$B$45))*EXP(-'Inputs'!$B$18*'Cash Flows'!$B$45)))</x:f>
        <x:v>0.3147098550605505</x:v>
      </x:c>
      <x:c r="J15" s="161" t="str">
        <x:v>Higher credit spread raises inferred hazard and lowers fixed-coupon value.</x:v>
      </x:c>
      <x:c r="K15" s="161"/>
      <x:c r="L15" s="161"/>
      <x:c r="M15" s="161"/>
      <x:c r="N15" s="161"/>
      <x:c r="O15" s="161"/>
    </x:row>
    <x:row r="16" ht="24" customHeight="1">
      <x:c r="A16" s="129" t="str">
        <x:v>S100 / R40</x:v>
      </x:c>
      <x:c r="B16" s="136" t="n">
        <x:v>0.01</x:v>
      </x:c>
      <x:c r="C16" s="136" t="n">
        <x:v>0.4</x:v>
      </x:c>
      <x:c r="D16" s="136" t="n">
        <x:f>IF(C16&lt;1,B16/(1-C16),0)</x:f>
        <x:v>0.016666666666666666</x:v>
      </x:c>
      <x:c r="E16" s="136" t="n">
        <x:f>1-EXP(-D16*'Inputs'!$B$10)</x:f>
        <x:v>0.07995558537067671</x:v>
      </x:c>
      <x:c r="F16" s="136" t="n">
        <x:f>'Inputs'!$B$35/'Inputs'!$B$9*H16+MAX(0,C16-IF('Inputs'!$B$6="REPACK",'Inputs'!$B$21,0))*I16+EXP(-D16*'Inputs'!$B$10)*EXP(-'Inputs'!$B$18*'Inputs'!$B$10)</x:f>
        <x:v>1.0840969511642595</x:v>
      </x:c>
      <x:c r="G16" s="136" t="n">
        <x:f>IF(H16&gt;0,IF('Inputs'!$B$6="CLN",('Inputs'!$B$11-MAX(0,C16-IF('Inputs'!$B$6="REPACK",'Inputs'!$B$21,0))*I16-EXP(-D16*'Inputs'!$B$10)*EXP(-'Inputs'!$B$18*'Inputs'!$B$10))/(H16/'Inputs'!$B$9),('Inputs'!$B$11-'Inputs'!$B$29+'Inputs'!$B$28/'Inputs'!$B$9*H16+C16*I16+EXP(-D16*'Inputs'!$B$10)*EXP(-'Inputs'!$B$18*'Inputs'!$B$10)-MAX(0,C16-IF('Inputs'!$B$6="REPACK",'Inputs'!$B$21,0))*I16-EXP(-D16*'Inputs'!$B$10)*EXP(-'Inputs'!$B$18*'Inputs'!$B$10)-('Inputs'!$B$30+'Inputs'!$B$31)/'Inputs'!$B$9*H16)/(H16/'Inputs'!$B$9)),"")</x:f>
        <x:v>0.05292584415457442</x:v>
      </x:c>
      <x:c r="H16" s="157" t="n">
        <x:f>SUM(IF('Cash Flows'!$B$6="",0,EXP(-D16*'Cash Flows'!$B$6)*EXP(-'Inputs'!$B$18*'Cash Flows'!$B$6)),IF('Cash Flows'!$B$7="",0,EXP(-D16*'Cash Flows'!$B$7)*EXP(-'Inputs'!$B$18*'Cash Flows'!$B$7)),IF('Cash Flows'!$B$8="",0,EXP(-D16*'Cash Flows'!$B$8)*EXP(-'Inputs'!$B$18*'Cash Flows'!$B$8)),IF('Cash Flows'!$B$9="",0,EXP(-D16*'Cash Flows'!$B$9)*EXP(-'Inputs'!$B$18*'Cash Flows'!$B$9)),IF('Cash Flows'!$B$10="",0,EXP(-D16*'Cash Flows'!$B$10)*EXP(-'Inputs'!$B$18*'Cash Flows'!$B$10)),IF('Cash Flows'!$B$11="",0,EXP(-D16*'Cash Flows'!$B$11)*EXP(-'Inputs'!$B$18*'Cash Flows'!$B$11)),IF('Cash Flows'!$B$12="",0,EXP(-D16*'Cash Flows'!$B$12)*EXP(-'Inputs'!$B$18*'Cash Flows'!$B$12)),IF('Cash Flows'!$B$13="",0,EXP(-D16*'Cash Flows'!$B$13)*EXP(-'Inputs'!$B$18*'Cash Flows'!$B$13)),IF('Cash Flows'!$B$14="",0,EXP(-D16*'Cash Flows'!$B$14)*EXP(-'Inputs'!$B$18*'Cash Flows'!$B$14)),IF('Cash Flows'!$B$15="",0,EXP(-D16*'Cash Flows'!$B$15)*EXP(-'Inputs'!$B$18*'Cash Flows'!$B$15)),IF('Cash Flows'!$B$16="",0,EXP(-D16*'Cash Flows'!$B$16)*EXP(-'Inputs'!$B$18*'Cash Flows'!$B$16)),IF('Cash Flows'!$B$17="",0,EXP(-D16*'Cash Flows'!$B$17)*EXP(-'Inputs'!$B$18*'Cash Flows'!$B$17)),IF('Cash Flows'!$B$18="",0,EXP(-D16*'Cash Flows'!$B$18)*EXP(-'Inputs'!$B$18*'Cash Flows'!$B$18)),IF('Cash Flows'!$B$19="",0,EXP(-D16*'Cash Flows'!$B$19)*EXP(-'Inputs'!$B$18*'Cash Flows'!$B$19)),IF('Cash Flows'!$B$20="",0,EXP(-D16*'Cash Flows'!$B$20)*EXP(-'Inputs'!$B$18*'Cash Flows'!$B$20)),IF('Cash Flows'!$B$21="",0,EXP(-D16*'Cash Flows'!$B$21)*EXP(-'Inputs'!$B$18*'Cash Flows'!$B$21)),IF('Cash Flows'!$B$22="",0,EXP(-D16*'Cash Flows'!$B$22)*EXP(-'Inputs'!$B$18*'Cash Flows'!$B$22)),IF('Cash Flows'!$B$23="",0,EXP(-D16*'Cash Flows'!$B$23)*EXP(-'Inputs'!$B$18*'Cash Flows'!$B$23)),IF('Cash Flows'!$B$24="",0,EXP(-D16*'Cash Flows'!$B$24)*EXP(-'Inputs'!$B$18*'Cash Flows'!$B$24)),IF('Cash Flows'!$B$25="",0,EXP(-D16*'Cash Flows'!$B$25)*EXP(-'Inputs'!$B$18*'Cash Flows'!$B$25)),IF('Cash Flows'!$B$26="",0,EXP(-D16*'Cash Flows'!$B$26)*EXP(-'Inputs'!$B$18*'Cash Flows'!$B$26)),IF('Cash Flows'!$B$27="",0,EXP(-D16*'Cash Flows'!$B$27)*EXP(-'Inputs'!$B$18*'Cash Flows'!$B$27)),IF('Cash Flows'!$B$28="",0,EXP(-D16*'Cash Flows'!$B$28)*EXP(-'Inputs'!$B$18*'Cash Flows'!$B$28)),IF('Cash Flows'!$B$29="",0,EXP(-D16*'Cash Flows'!$B$29)*EXP(-'Inputs'!$B$18*'Cash Flows'!$B$29)),IF('Cash Flows'!$B$30="",0,EXP(-D16*'Cash Flows'!$B$30)*EXP(-'Inputs'!$B$18*'Cash Flows'!$B$30)),IF('Cash Flows'!$B$31="",0,EXP(-D16*'Cash Flows'!$B$31)*EXP(-'Inputs'!$B$18*'Cash Flows'!$B$31)),IF('Cash Flows'!$B$32="",0,EXP(-D16*'Cash Flows'!$B$32)*EXP(-'Inputs'!$B$18*'Cash Flows'!$B$32)),IF('Cash Flows'!$B$33="",0,EXP(-D16*'Cash Flows'!$B$33)*EXP(-'Inputs'!$B$18*'Cash Flows'!$B$33)),IF('Cash Flows'!$B$34="",0,EXP(-D16*'Cash Flows'!$B$34)*EXP(-'Inputs'!$B$18*'Cash Flows'!$B$34)),IF('Cash Flows'!$B$35="",0,EXP(-D16*'Cash Flows'!$B$35)*EXP(-'Inputs'!$B$18*'Cash Flows'!$B$35)),IF('Cash Flows'!$B$36="",0,EXP(-D16*'Cash Flows'!$B$36)*EXP(-'Inputs'!$B$18*'Cash Flows'!$B$36)),IF('Cash Flows'!$B$37="",0,EXP(-D16*'Cash Flows'!$B$37)*EXP(-'Inputs'!$B$18*'Cash Flows'!$B$37)),IF('Cash Flows'!$B$38="",0,EXP(-D16*'Cash Flows'!$B$38)*EXP(-'Inputs'!$B$18*'Cash Flows'!$B$38)),IF('Cash Flows'!$B$39="",0,EXP(-D16*'Cash Flows'!$B$39)*EXP(-'Inputs'!$B$18*'Cash Flows'!$B$39)),IF('Cash Flows'!$B$40="",0,EXP(-D16*'Cash Flows'!$B$40)*EXP(-'Inputs'!$B$18*'Cash Flows'!$B$40)),IF('Cash Flows'!$B$41="",0,EXP(-D16*'Cash Flows'!$B$41)*EXP(-'Inputs'!$B$18*'Cash Flows'!$B$41)),IF('Cash Flows'!$B$42="",0,EXP(-D16*'Cash Flows'!$B$42)*EXP(-'Inputs'!$B$18*'Cash Flows'!$B$42)),IF('Cash Flows'!$B$43="",0,EXP(-D16*'Cash Flows'!$B$43)*EXP(-'Inputs'!$B$18*'Cash Flows'!$B$43)),IF('Cash Flows'!$B$44="",0,EXP(-D16*'Cash Flows'!$B$44)*EXP(-'Inputs'!$B$18*'Cash Flows'!$B$44)),IF('Cash Flows'!$B$45="",0,EXP(-D16*'Cash Flows'!$B$45)*EXP(-'Inputs'!$B$18*'Cash Flows'!$B$45)))</x:f>
        <x:v>17.185303280174452</x:v>
      </x:c>
      <x:c r="I16" s="158" t="n">
        <x:f>SUM(IF('Cash Flows'!$B$6="",0,(EXP(-D16*'Cash Flows'!$C$6)-EXP(-D16*'Cash Flows'!$B$6))*EXP(-'Inputs'!$B$18*'Cash Flows'!$B$6)),IF('Cash Flows'!$B$7="",0,(EXP(-D16*'Cash Flows'!$C$7)-EXP(-D16*'Cash Flows'!$B$7))*EXP(-'Inputs'!$B$18*'Cash Flows'!$B$7)),IF('Cash Flows'!$B$8="",0,(EXP(-D16*'Cash Flows'!$C$8)-EXP(-D16*'Cash Flows'!$B$8))*EXP(-'Inputs'!$B$18*'Cash Flows'!$B$8)),IF('Cash Flows'!$B$9="",0,(EXP(-D16*'Cash Flows'!$C$9)-EXP(-D16*'Cash Flows'!$B$9))*EXP(-'Inputs'!$B$18*'Cash Flows'!$B$9)),IF('Cash Flows'!$B$10="",0,(EXP(-D16*'Cash Flows'!$C$10)-EXP(-D16*'Cash Flows'!$B$10))*EXP(-'Inputs'!$B$18*'Cash Flows'!$B$10)),IF('Cash Flows'!$B$11="",0,(EXP(-D16*'Cash Flows'!$C$11)-EXP(-D16*'Cash Flows'!$B$11))*EXP(-'Inputs'!$B$18*'Cash Flows'!$B$11)),IF('Cash Flows'!$B$12="",0,(EXP(-D16*'Cash Flows'!$C$12)-EXP(-D16*'Cash Flows'!$B$12))*EXP(-'Inputs'!$B$18*'Cash Flows'!$B$12)),IF('Cash Flows'!$B$13="",0,(EXP(-D16*'Cash Flows'!$C$13)-EXP(-D16*'Cash Flows'!$B$13))*EXP(-'Inputs'!$B$18*'Cash Flows'!$B$13)),IF('Cash Flows'!$B$14="",0,(EXP(-D16*'Cash Flows'!$C$14)-EXP(-D16*'Cash Flows'!$B$14))*EXP(-'Inputs'!$B$18*'Cash Flows'!$B$14)),IF('Cash Flows'!$B$15="",0,(EXP(-D16*'Cash Flows'!$C$15)-EXP(-D16*'Cash Flows'!$B$15))*EXP(-'Inputs'!$B$18*'Cash Flows'!$B$15)),IF('Cash Flows'!$B$16="",0,(EXP(-D16*'Cash Flows'!$C$16)-EXP(-D16*'Cash Flows'!$B$16))*EXP(-'Inputs'!$B$18*'Cash Flows'!$B$16)),IF('Cash Flows'!$B$17="",0,(EXP(-D16*'Cash Flows'!$C$17)-EXP(-D16*'Cash Flows'!$B$17))*EXP(-'Inputs'!$B$18*'Cash Flows'!$B$17)),IF('Cash Flows'!$B$18="",0,(EXP(-D16*'Cash Flows'!$C$18)-EXP(-D16*'Cash Flows'!$B$18))*EXP(-'Inputs'!$B$18*'Cash Flows'!$B$18)),IF('Cash Flows'!$B$19="",0,(EXP(-D16*'Cash Flows'!$C$19)-EXP(-D16*'Cash Flows'!$B$19))*EXP(-'Inputs'!$B$18*'Cash Flows'!$B$19)),IF('Cash Flows'!$B$20="",0,(EXP(-D16*'Cash Flows'!$C$20)-EXP(-D16*'Cash Flows'!$B$20))*EXP(-'Inputs'!$B$18*'Cash Flows'!$B$20)),IF('Cash Flows'!$B$21="",0,(EXP(-D16*'Cash Flows'!$C$21)-EXP(-D16*'Cash Flows'!$B$21))*EXP(-'Inputs'!$B$18*'Cash Flows'!$B$21)),IF('Cash Flows'!$B$22="",0,(EXP(-D16*'Cash Flows'!$C$22)-EXP(-D16*'Cash Flows'!$B$22))*EXP(-'Inputs'!$B$18*'Cash Flows'!$B$22)),IF('Cash Flows'!$B$23="",0,(EXP(-D16*'Cash Flows'!$C$23)-EXP(-D16*'Cash Flows'!$B$23))*EXP(-'Inputs'!$B$18*'Cash Flows'!$B$23)),IF('Cash Flows'!$B$24="",0,(EXP(-D16*'Cash Flows'!$C$24)-EXP(-D16*'Cash Flows'!$B$24))*EXP(-'Inputs'!$B$18*'Cash Flows'!$B$24)),IF('Cash Flows'!$B$25="",0,(EXP(-D16*'Cash Flows'!$C$25)-EXP(-D16*'Cash Flows'!$B$25))*EXP(-'Inputs'!$B$18*'Cash Flows'!$B$25)),IF('Cash Flows'!$B$26="",0,(EXP(-D16*'Cash Flows'!$C$26)-EXP(-D16*'Cash Flows'!$B$26))*EXP(-'Inputs'!$B$18*'Cash Flows'!$B$26)),IF('Cash Flows'!$B$27="",0,(EXP(-D16*'Cash Flows'!$C$27)-EXP(-D16*'Cash Flows'!$B$27))*EXP(-'Inputs'!$B$18*'Cash Flows'!$B$27)),IF('Cash Flows'!$B$28="",0,(EXP(-D16*'Cash Flows'!$C$28)-EXP(-D16*'Cash Flows'!$B$28))*EXP(-'Inputs'!$B$18*'Cash Flows'!$B$28)),IF('Cash Flows'!$B$29="",0,(EXP(-D16*'Cash Flows'!$C$29)-EXP(-D16*'Cash Flows'!$B$29))*EXP(-'Inputs'!$B$18*'Cash Flows'!$B$29)),IF('Cash Flows'!$B$30="",0,(EXP(-D16*'Cash Flows'!$C$30)-EXP(-D16*'Cash Flows'!$B$30))*EXP(-'Inputs'!$B$18*'Cash Flows'!$B$30)),IF('Cash Flows'!$B$31="",0,(EXP(-D16*'Cash Flows'!$C$31)-EXP(-D16*'Cash Flows'!$B$31))*EXP(-'Inputs'!$B$18*'Cash Flows'!$B$31)),IF('Cash Flows'!$B$32="",0,(EXP(-D16*'Cash Flows'!$C$32)-EXP(-D16*'Cash Flows'!$B$32))*EXP(-'Inputs'!$B$18*'Cash Flows'!$B$32)),IF('Cash Flows'!$B$33="",0,(EXP(-D16*'Cash Flows'!$C$33)-EXP(-D16*'Cash Flows'!$B$33))*EXP(-'Inputs'!$B$18*'Cash Flows'!$B$33)),IF('Cash Flows'!$B$34="",0,(EXP(-D16*'Cash Flows'!$C$34)-EXP(-D16*'Cash Flows'!$B$34))*EXP(-'Inputs'!$B$18*'Cash Flows'!$B$34)),IF('Cash Flows'!$B$35="",0,(EXP(-D16*'Cash Flows'!$C$35)-EXP(-D16*'Cash Flows'!$B$35))*EXP(-'Inputs'!$B$18*'Cash Flows'!$B$35)),IF('Cash Flows'!$B$36="",0,(EXP(-D16*'Cash Flows'!$C$36)-EXP(-D16*'Cash Flows'!$B$36))*EXP(-'Inputs'!$B$18*'Cash Flows'!$B$36)),IF('Cash Flows'!$B$37="",0,(EXP(-D16*'Cash Flows'!$C$37)-EXP(-D16*'Cash Flows'!$B$37))*EXP(-'Inputs'!$B$18*'Cash Flows'!$B$37)),IF('Cash Flows'!$B$38="",0,(EXP(-D16*'Cash Flows'!$C$38)-EXP(-D16*'Cash Flows'!$B$38))*EXP(-'Inputs'!$B$18*'Cash Flows'!$B$38)),IF('Cash Flows'!$B$39="",0,(EXP(-D16*'Cash Flows'!$C$39)-EXP(-D16*'Cash Flows'!$B$39))*EXP(-'Inputs'!$B$18*'Cash Flows'!$B$39)),IF('Cash Flows'!$B$40="",0,(EXP(-D16*'Cash Flows'!$C$40)-EXP(-D16*'Cash Flows'!$B$40))*EXP(-'Inputs'!$B$18*'Cash Flows'!$B$40)),IF('Cash Flows'!$B$41="",0,(EXP(-D16*'Cash Flows'!$C$41)-EXP(-D16*'Cash Flows'!$B$41))*EXP(-'Inputs'!$B$18*'Cash Flows'!$B$41)),IF('Cash Flows'!$B$42="",0,(EXP(-D16*'Cash Flows'!$C$42)-EXP(-D16*'Cash Flows'!$B$42))*EXP(-'Inputs'!$B$18*'Cash Flows'!$B$42)),IF('Cash Flows'!$B$43="",0,(EXP(-D16*'Cash Flows'!$C$43)-EXP(-D16*'Cash Flows'!$B$43))*EXP(-'Inputs'!$B$18*'Cash Flows'!$B$43)),IF('Cash Flows'!$B$44="",0,(EXP(-D16*'Cash Flows'!$C$44)-EXP(-D16*'Cash Flows'!$B$44))*EXP(-'Inputs'!$B$18*'Cash Flows'!$B$44)),IF('Cash Flows'!$B$45="",0,(EXP(-D16*'Cash Flows'!$C$45)-EXP(-D16*'Cash Flows'!$B$45))*EXP(-'Inputs'!$B$18*'Cash Flows'!$B$45)))</x:f>
        <x:v>0.07175481572156611</x:v>
      </x:c>
      <x:c r="J16" s="161" t="str">
        <x:v>Higher recovery raises value when hazard is held constant. The grid instead recalibrates hazard from spread / LGD.</x:v>
      </x:c>
      <x:c r="K16" s="161"/>
      <x:c r="L16" s="161"/>
      <x:c r="M16" s="161"/>
      <x:c r="N16" s="161"/>
      <x:c r="O16" s="161"/>
    </x:row>
    <x:row r="17" ht="24" customHeight="1">
      <x:c r="A17" s="129" t="str">
        <x:v>S200 / R40</x:v>
      </x:c>
      <x:c r="B17" s="136" t="n">
        <x:v>0.02</x:v>
      </x:c>
      <x:c r="C17" s="136" t="n">
        <x:v>0.4</x:v>
      </x:c>
      <x:c r="D17" s="136" t="n">
        <x:f>IF(C17&lt;1,B17/(1-C17),0)</x:f>
        <x:v>0.03333333333333333</x:v>
      </x:c>
      <x:c r="E17" s="136" t="n">
        <x:f>1-EXP(-D17*'Inputs'!$B$10)</x:f>
        <x:v>0.15351827510938598</x:v>
      </x:c>
      <x:c r="F17" s="136" t="n">
        <x:f>'Inputs'!$B$35/'Inputs'!$B$9*H17+MAX(0,C17-IF('Inputs'!$B$6="REPACK",'Inputs'!$B$21,0))*I17+EXP(-D17*'Inputs'!$B$10)*EXP(-'Inputs'!$B$18*'Inputs'!$B$10)</x:f>
        <x:v>1.0384679744472636</x:v>
      </x:c>
      <x:c r="G17" s="136" t="n">
        <x:f>IF(H17&gt;0,IF('Inputs'!$B$6="CLN",('Inputs'!$B$11-MAX(0,C17-IF('Inputs'!$B$6="REPACK",'Inputs'!$B$21,0))*I17-EXP(-D17*'Inputs'!$B$10)*EXP(-'Inputs'!$B$18*'Inputs'!$B$10))/(H17/'Inputs'!$B$9),('Inputs'!$B$11-'Inputs'!$B$29+'Inputs'!$B$28/'Inputs'!$B$9*H17+C17*I17+EXP(-D17*'Inputs'!$B$10)*EXP(-'Inputs'!$B$18*'Inputs'!$B$10)-MAX(0,C17-IF('Inputs'!$B$6="REPACK",'Inputs'!$B$21,0))*I17-EXP(-D17*'Inputs'!$B$10)*EXP(-'Inputs'!$B$18*'Inputs'!$B$10)-('Inputs'!$B$30+'Inputs'!$B$31)/'Inputs'!$B$9*H17)/(H17/'Inputs'!$B$9)),"")</x:f>
        <x:v>0.06316769086838998</x:v>
      </x:c>
      <x:c r="H17" s="157" t="n">
        <x:f>SUM(IF('Cash Flows'!$B$6="",0,EXP(-D17*'Cash Flows'!$B$6)*EXP(-'Inputs'!$B$18*'Cash Flows'!$B$6)),IF('Cash Flows'!$B$7="",0,EXP(-D17*'Cash Flows'!$B$7)*EXP(-'Inputs'!$B$18*'Cash Flows'!$B$7)),IF('Cash Flows'!$B$8="",0,EXP(-D17*'Cash Flows'!$B$8)*EXP(-'Inputs'!$B$18*'Cash Flows'!$B$8)),IF('Cash Flows'!$B$9="",0,EXP(-D17*'Cash Flows'!$B$9)*EXP(-'Inputs'!$B$18*'Cash Flows'!$B$9)),IF('Cash Flows'!$B$10="",0,EXP(-D17*'Cash Flows'!$B$10)*EXP(-'Inputs'!$B$18*'Cash Flows'!$B$10)),IF('Cash Flows'!$B$11="",0,EXP(-D17*'Cash Flows'!$B$11)*EXP(-'Inputs'!$B$18*'Cash Flows'!$B$11)),IF('Cash Flows'!$B$12="",0,EXP(-D17*'Cash Flows'!$B$12)*EXP(-'Inputs'!$B$18*'Cash Flows'!$B$12)),IF('Cash Flows'!$B$13="",0,EXP(-D17*'Cash Flows'!$B$13)*EXP(-'Inputs'!$B$18*'Cash Flows'!$B$13)),IF('Cash Flows'!$B$14="",0,EXP(-D17*'Cash Flows'!$B$14)*EXP(-'Inputs'!$B$18*'Cash Flows'!$B$14)),IF('Cash Flows'!$B$15="",0,EXP(-D17*'Cash Flows'!$B$15)*EXP(-'Inputs'!$B$18*'Cash Flows'!$B$15)),IF('Cash Flows'!$B$16="",0,EXP(-D17*'Cash Flows'!$B$16)*EXP(-'Inputs'!$B$18*'Cash Flows'!$B$16)),IF('Cash Flows'!$B$17="",0,EXP(-D17*'Cash Flows'!$B$17)*EXP(-'Inputs'!$B$18*'Cash Flows'!$B$17)),IF('Cash Flows'!$B$18="",0,EXP(-D17*'Cash Flows'!$B$18)*EXP(-'Inputs'!$B$18*'Cash Flows'!$B$18)),IF('Cash Flows'!$B$19="",0,EXP(-D17*'Cash Flows'!$B$19)*EXP(-'Inputs'!$B$18*'Cash Flows'!$B$19)),IF('Cash Flows'!$B$20="",0,EXP(-D17*'Cash Flows'!$B$20)*EXP(-'Inputs'!$B$18*'Cash Flows'!$B$20)),IF('Cash Flows'!$B$21="",0,EXP(-D17*'Cash Flows'!$B$21)*EXP(-'Inputs'!$B$18*'Cash Flows'!$B$21)),IF('Cash Flows'!$B$22="",0,EXP(-D17*'Cash Flows'!$B$22)*EXP(-'Inputs'!$B$18*'Cash Flows'!$B$22)),IF('Cash Flows'!$B$23="",0,EXP(-D17*'Cash Flows'!$B$23)*EXP(-'Inputs'!$B$18*'Cash Flows'!$B$23)),IF('Cash Flows'!$B$24="",0,EXP(-D17*'Cash Flows'!$B$24)*EXP(-'Inputs'!$B$18*'Cash Flows'!$B$24)),IF('Cash Flows'!$B$25="",0,EXP(-D17*'Cash Flows'!$B$25)*EXP(-'Inputs'!$B$18*'Cash Flows'!$B$25)),IF('Cash Flows'!$B$26="",0,EXP(-D17*'Cash Flows'!$B$26)*EXP(-'Inputs'!$B$18*'Cash Flows'!$B$26)),IF('Cash Flows'!$B$27="",0,EXP(-D17*'Cash Flows'!$B$27)*EXP(-'Inputs'!$B$18*'Cash Flows'!$B$27)),IF('Cash Flows'!$B$28="",0,EXP(-D17*'Cash Flows'!$B$28)*EXP(-'Inputs'!$B$18*'Cash Flows'!$B$28)),IF('Cash Flows'!$B$29="",0,EXP(-D17*'Cash Flows'!$B$29)*EXP(-'Inputs'!$B$18*'Cash Flows'!$B$29)),IF('Cash Flows'!$B$30="",0,EXP(-D17*'Cash Flows'!$B$30)*EXP(-'Inputs'!$B$18*'Cash Flows'!$B$30)),IF('Cash Flows'!$B$31="",0,EXP(-D17*'Cash Flows'!$B$31)*EXP(-'Inputs'!$B$18*'Cash Flows'!$B$31)),IF('Cash Flows'!$B$32="",0,EXP(-D17*'Cash Flows'!$B$32)*EXP(-'Inputs'!$B$18*'Cash Flows'!$B$32)),IF('Cash Flows'!$B$33="",0,EXP(-D17*'Cash Flows'!$B$33)*EXP(-'Inputs'!$B$18*'Cash Flows'!$B$33)),IF('Cash Flows'!$B$34="",0,EXP(-D17*'Cash Flows'!$B$34)*EXP(-'Inputs'!$B$18*'Cash Flows'!$B$34)),IF('Cash Flows'!$B$35="",0,EXP(-D17*'Cash Flows'!$B$35)*EXP(-'Inputs'!$B$18*'Cash Flows'!$B$35)),IF('Cash Flows'!$B$36="",0,EXP(-D17*'Cash Flows'!$B$36)*EXP(-'Inputs'!$B$18*'Cash Flows'!$B$36)),IF('Cash Flows'!$B$37="",0,EXP(-D17*'Cash Flows'!$B$37)*EXP(-'Inputs'!$B$18*'Cash Flows'!$B$37)),IF('Cash Flows'!$B$38="",0,EXP(-D17*'Cash Flows'!$B$38)*EXP(-'Inputs'!$B$18*'Cash Flows'!$B$38)),IF('Cash Flows'!$B$39="",0,EXP(-D17*'Cash Flows'!$B$39)*EXP(-'Inputs'!$B$18*'Cash Flows'!$B$39)),IF('Cash Flows'!$B$40="",0,EXP(-D17*'Cash Flows'!$B$40)*EXP(-'Inputs'!$B$18*'Cash Flows'!$B$40)),IF('Cash Flows'!$B$41="",0,EXP(-D17*'Cash Flows'!$B$41)*EXP(-'Inputs'!$B$18*'Cash Flows'!$B$41)),IF('Cash Flows'!$B$42="",0,EXP(-D17*'Cash Flows'!$B$42)*EXP(-'Inputs'!$B$18*'Cash Flows'!$B$42)),IF('Cash Flows'!$B$43="",0,EXP(-D17*'Cash Flows'!$B$43)*EXP(-'Inputs'!$B$18*'Cash Flows'!$B$43)),IF('Cash Flows'!$B$44="",0,EXP(-D17*'Cash Flows'!$B$44)*EXP(-'Inputs'!$B$18*'Cash Flows'!$B$44)),IF('Cash Flows'!$B$45="",0,EXP(-D17*'Cash Flows'!$B$45)*EXP(-'Inputs'!$B$18*'Cash Flows'!$B$45)))</x:f>
        <x:v>16.48808409784305</x:v>
      </x:c>
      <x:c r="I17" s="158" t="n">
        <x:f>SUM(IF('Cash Flows'!$B$6="",0,(EXP(-D17*'Cash Flows'!$C$6)-EXP(-D17*'Cash Flows'!$B$6))*EXP(-'Inputs'!$B$18*'Cash Flows'!$B$6)),IF('Cash Flows'!$B$7="",0,(EXP(-D17*'Cash Flows'!$C$7)-EXP(-D17*'Cash Flows'!$B$7))*EXP(-'Inputs'!$B$18*'Cash Flows'!$B$7)),IF('Cash Flows'!$B$8="",0,(EXP(-D17*'Cash Flows'!$C$8)-EXP(-D17*'Cash Flows'!$B$8))*EXP(-'Inputs'!$B$18*'Cash Flows'!$B$8)),IF('Cash Flows'!$B$9="",0,(EXP(-D17*'Cash Flows'!$C$9)-EXP(-D17*'Cash Flows'!$B$9))*EXP(-'Inputs'!$B$18*'Cash Flows'!$B$9)),IF('Cash Flows'!$B$10="",0,(EXP(-D17*'Cash Flows'!$C$10)-EXP(-D17*'Cash Flows'!$B$10))*EXP(-'Inputs'!$B$18*'Cash Flows'!$B$10)),IF('Cash Flows'!$B$11="",0,(EXP(-D17*'Cash Flows'!$C$11)-EXP(-D17*'Cash Flows'!$B$11))*EXP(-'Inputs'!$B$18*'Cash Flows'!$B$11)),IF('Cash Flows'!$B$12="",0,(EXP(-D17*'Cash Flows'!$C$12)-EXP(-D17*'Cash Flows'!$B$12))*EXP(-'Inputs'!$B$18*'Cash Flows'!$B$12)),IF('Cash Flows'!$B$13="",0,(EXP(-D17*'Cash Flows'!$C$13)-EXP(-D17*'Cash Flows'!$B$13))*EXP(-'Inputs'!$B$18*'Cash Flows'!$B$13)),IF('Cash Flows'!$B$14="",0,(EXP(-D17*'Cash Flows'!$C$14)-EXP(-D17*'Cash Flows'!$B$14))*EXP(-'Inputs'!$B$18*'Cash Flows'!$B$14)),IF('Cash Flows'!$B$15="",0,(EXP(-D17*'Cash Flows'!$C$15)-EXP(-D17*'Cash Flows'!$B$15))*EXP(-'Inputs'!$B$18*'Cash Flows'!$B$15)),IF('Cash Flows'!$B$16="",0,(EXP(-D17*'Cash Flows'!$C$16)-EXP(-D17*'Cash Flows'!$B$16))*EXP(-'Inputs'!$B$18*'Cash Flows'!$B$16)),IF('Cash Flows'!$B$17="",0,(EXP(-D17*'Cash Flows'!$C$17)-EXP(-D17*'Cash Flows'!$B$17))*EXP(-'Inputs'!$B$18*'Cash Flows'!$B$17)),IF('Cash Flows'!$B$18="",0,(EXP(-D17*'Cash Flows'!$C$18)-EXP(-D17*'Cash Flows'!$B$18))*EXP(-'Inputs'!$B$18*'Cash Flows'!$B$18)),IF('Cash Flows'!$B$19="",0,(EXP(-D17*'Cash Flows'!$C$19)-EXP(-D17*'Cash Flows'!$B$19))*EXP(-'Inputs'!$B$18*'Cash Flows'!$B$19)),IF('Cash Flows'!$B$20="",0,(EXP(-D17*'Cash Flows'!$C$20)-EXP(-D17*'Cash Flows'!$B$20))*EXP(-'Inputs'!$B$18*'Cash Flows'!$B$20)),IF('Cash Flows'!$B$21="",0,(EXP(-D17*'Cash Flows'!$C$21)-EXP(-D17*'Cash Flows'!$B$21))*EXP(-'Inputs'!$B$18*'Cash Flows'!$B$21)),IF('Cash Flows'!$B$22="",0,(EXP(-D17*'Cash Flows'!$C$22)-EXP(-D17*'Cash Flows'!$B$22))*EXP(-'Inputs'!$B$18*'Cash Flows'!$B$22)),IF('Cash Flows'!$B$23="",0,(EXP(-D17*'Cash Flows'!$C$23)-EXP(-D17*'Cash Flows'!$B$23))*EXP(-'Inputs'!$B$18*'Cash Flows'!$B$23)),IF('Cash Flows'!$B$24="",0,(EXP(-D17*'Cash Flows'!$C$24)-EXP(-D17*'Cash Flows'!$B$24))*EXP(-'Inputs'!$B$18*'Cash Flows'!$B$24)),IF('Cash Flows'!$B$25="",0,(EXP(-D17*'Cash Flows'!$C$25)-EXP(-D17*'Cash Flows'!$B$25))*EXP(-'Inputs'!$B$18*'Cash Flows'!$B$25)),IF('Cash Flows'!$B$26="",0,(EXP(-D17*'Cash Flows'!$C$26)-EXP(-D17*'Cash Flows'!$B$26))*EXP(-'Inputs'!$B$18*'Cash Flows'!$B$26)),IF('Cash Flows'!$B$27="",0,(EXP(-D17*'Cash Flows'!$C$27)-EXP(-D17*'Cash Flows'!$B$27))*EXP(-'Inputs'!$B$18*'Cash Flows'!$B$27)),IF('Cash Flows'!$B$28="",0,(EXP(-D17*'Cash Flows'!$C$28)-EXP(-D17*'Cash Flows'!$B$28))*EXP(-'Inputs'!$B$18*'Cash Flows'!$B$28)),IF('Cash Flows'!$B$29="",0,(EXP(-D17*'Cash Flows'!$C$29)-EXP(-D17*'Cash Flows'!$B$29))*EXP(-'Inputs'!$B$18*'Cash Flows'!$B$29)),IF('Cash Flows'!$B$30="",0,(EXP(-D17*'Cash Flows'!$C$30)-EXP(-D17*'Cash Flows'!$B$30))*EXP(-'Inputs'!$B$18*'Cash Flows'!$B$30)),IF('Cash Flows'!$B$31="",0,(EXP(-D17*'Cash Flows'!$C$31)-EXP(-D17*'Cash Flows'!$B$31))*EXP(-'Inputs'!$B$18*'Cash Flows'!$B$31)),IF('Cash Flows'!$B$32="",0,(EXP(-D17*'Cash Flows'!$C$32)-EXP(-D17*'Cash Flows'!$B$32))*EXP(-'Inputs'!$B$18*'Cash Flows'!$B$32)),IF('Cash Flows'!$B$33="",0,(EXP(-D17*'Cash Flows'!$C$33)-EXP(-D17*'Cash Flows'!$B$33))*EXP(-'Inputs'!$B$18*'Cash Flows'!$B$33)),IF('Cash Flows'!$B$34="",0,(EXP(-D17*'Cash Flows'!$C$34)-EXP(-D17*'Cash Flows'!$B$34))*EXP(-'Inputs'!$B$18*'Cash Flows'!$B$34)),IF('Cash Flows'!$B$35="",0,(EXP(-D17*'Cash Flows'!$C$35)-EXP(-D17*'Cash Flows'!$B$35))*EXP(-'Inputs'!$B$18*'Cash Flows'!$B$35)),IF('Cash Flows'!$B$36="",0,(EXP(-D17*'Cash Flows'!$C$36)-EXP(-D17*'Cash Flows'!$B$36))*EXP(-'Inputs'!$B$18*'Cash Flows'!$B$36)),IF('Cash Flows'!$B$37="",0,(EXP(-D17*'Cash Flows'!$C$37)-EXP(-D17*'Cash Flows'!$B$37))*EXP(-'Inputs'!$B$18*'Cash Flows'!$B$37)),IF('Cash Flows'!$B$38="",0,(EXP(-D17*'Cash Flows'!$C$38)-EXP(-D17*'Cash Flows'!$B$38))*EXP(-'Inputs'!$B$18*'Cash Flows'!$B$38)),IF('Cash Flows'!$B$39="",0,(EXP(-D17*'Cash Flows'!$C$39)-EXP(-D17*'Cash Flows'!$B$39))*EXP(-'Inputs'!$B$18*'Cash Flows'!$B$39)),IF('Cash Flows'!$B$40="",0,(EXP(-D17*'Cash Flows'!$C$40)-EXP(-D17*'Cash Flows'!$B$40))*EXP(-'Inputs'!$B$18*'Cash Flows'!$B$40)),IF('Cash Flows'!$B$41="",0,(EXP(-D17*'Cash Flows'!$C$41)-EXP(-D17*'Cash Flows'!$B$41))*EXP(-'Inputs'!$B$18*'Cash Flows'!$B$41)),IF('Cash Flows'!$B$42="",0,(EXP(-D17*'Cash Flows'!$C$42)-EXP(-D17*'Cash Flows'!$B$42))*EXP(-'Inputs'!$B$18*'Cash Flows'!$B$42)),IF('Cash Flows'!$B$43="",0,(EXP(-D17*'Cash Flows'!$C$43)-EXP(-D17*'Cash Flows'!$B$43))*EXP(-'Inputs'!$B$18*'Cash Flows'!$B$43)),IF('Cash Flows'!$B$44="",0,(EXP(-D17*'Cash Flows'!$C$44)-EXP(-D17*'Cash Flows'!$B$44))*EXP(-'Inputs'!$B$18*'Cash Flows'!$B$44)),IF('Cash Flows'!$B$45="",0,(EXP(-D17*'Cash Flows'!$C$45)-EXP(-D17*'Cash Flows'!$B$45))*EXP(-'Inputs'!$B$18*'Cash Flows'!$B$45)))</x:f>
        <x:v>0.13797479733993698</x:v>
      </x:c>
      <x:c r="J17" s="161" t="str">
        <x:v>REPACK mode separates reference asset, investor note and running-cost economics.</x:v>
      </x:c>
      <x:c r="K17" s="161"/>
      <x:c r="L17" s="161"/>
      <x:c r="M17" s="161"/>
      <x:c r="N17" s="161"/>
      <x:c r="O17" s="161"/>
    </x:row>
    <x:row r="18" ht="24" customHeight="1">
      <x:c r="A18" s="129" t="str">
        <x:v>S300 / R40</x:v>
      </x:c>
      <x:c r="B18" s="136" t="n">
        <x:v>0.03</x:v>
      </x:c>
      <x:c r="C18" s="136" t="n">
        <x:v>0.4</x:v>
      </x:c>
      <x:c r="D18" s="136" t="n">
        <x:f>IF(C18&lt;1,B18/(1-C18),0)</x:f>
        <x:v>0.05</x:v>
      </x:c>
      <x:c r="E18" s="136" t="n">
        <x:f>1-EXP(-D18*'Inputs'!$B$10)</x:f>
        <x:v>0.22119921692859512</x:v>
      </x:c>
      <x:c r="F18" s="136" t="n">
        <x:f>'Inputs'!$B$35/'Inputs'!$B$9*H18+MAX(0,C18-IF('Inputs'!$B$6="REPACK",'Inputs'!$B$21,0))*I18+EXP(-D18*'Inputs'!$B$10)*EXP(-'Inputs'!$B$18*'Inputs'!$B$10)</x:f>
        <x:v>0.9962316926936947</x:v>
      </x:c>
      <x:c r="G18" s="136" t="n">
        <x:f>IF(H18&gt;0,IF('Inputs'!$B$6="CLN",('Inputs'!$B$11-MAX(0,C18-IF('Inputs'!$B$6="REPACK",'Inputs'!$B$21,0))*I18-EXP(-D18*'Inputs'!$B$10)*EXP(-'Inputs'!$B$18*'Inputs'!$B$10))/(H18/'Inputs'!$B$9),('Inputs'!$B$11-'Inputs'!$B$29+'Inputs'!$B$28/'Inputs'!$B$9*H18+C18*I18+EXP(-D18*'Inputs'!$B$10)*EXP(-'Inputs'!$B$18*'Inputs'!$B$10)-MAX(0,C18-IF('Inputs'!$B$6="REPACK",'Inputs'!$B$21,0))*I18-EXP(-D18*'Inputs'!$B$10)*EXP(-'Inputs'!$B$18*'Inputs'!$B$10)-('Inputs'!$B$30+'Inputs'!$B$31)/'Inputs'!$B$9*H18)/(H18/'Inputs'!$B$9)),"")</x:f>
        <x:v>0.07345230097204027</x:v>
      </x:c>
      <x:c r="H18" s="157" t="n">
        <x:f>SUM(IF('Cash Flows'!$B$6="",0,EXP(-D18*'Cash Flows'!$B$6)*EXP(-'Inputs'!$B$18*'Cash Flows'!$B$6)),IF('Cash Flows'!$B$7="",0,EXP(-D18*'Cash Flows'!$B$7)*EXP(-'Inputs'!$B$18*'Cash Flows'!$B$7)),IF('Cash Flows'!$B$8="",0,EXP(-D18*'Cash Flows'!$B$8)*EXP(-'Inputs'!$B$18*'Cash Flows'!$B$8)),IF('Cash Flows'!$B$9="",0,EXP(-D18*'Cash Flows'!$B$9)*EXP(-'Inputs'!$B$18*'Cash Flows'!$B$9)),IF('Cash Flows'!$B$10="",0,EXP(-D18*'Cash Flows'!$B$10)*EXP(-'Inputs'!$B$18*'Cash Flows'!$B$10)),IF('Cash Flows'!$B$11="",0,EXP(-D18*'Cash Flows'!$B$11)*EXP(-'Inputs'!$B$18*'Cash Flows'!$B$11)),IF('Cash Flows'!$B$12="",0,EXP(-D18*'Cash Flows'!$B$12)*EXP(-'Inputs'!$B$18*'Cash Flows'!$B$12)),IF('Cash Flows'!$B$13="",0,EXP(-D18*'Cash Flows'!$B$13)*EXP(-'Inputs'!$B$18*'Cash Flows'!$B$13)),IF('Cash Flows'!$B$14="",0,EXP(-D18*'Cash Flows'!$B$14)*EXP(-'Inputs'!$B$18*'Cash Flows'!$B$14)),IF('Cash Flows'!$B$15="",0,EXP(-D18*'Cash Flows'!$B$15)*EXP(-'Inputs'!$B$18*'Cash Flows'!$B$15)),IF('Cash Flows'!$B$16="",0,EXP(-D18*'Cash Flows'!$B$16)*EXP(-'Inputs'!$B$18*'Cash Flows'!$B$16)),IF('Cash Flows'!$B$17="",0,EXP(-D18*'Cash Flows'!$B$17)*EXP(-'Inputs'!$B$18*'Cash Flows'!$B$17)),IF('Cash Flows'!$B$18="",0,EXP(-D18*'Cash Flows'!$B$18)*EXP(-'Inputs'!$B$18*'Cash Flows'!$B$18)),IF('Cash Flows'!$B$19="",0,EXP(-D18*'Cash Flows'!$B$19)*EXP(-'Inputs'!$B$18*'Cash Flows'!$B$19)),IF('Cash Flows'!$B$20="",0,EXP(-D18*'Cash Flows'!$B$20)*EXP(-'Inputs'!$B$18*'Cash Flows'!$B$20)),IF('Cash Flows'!$B$21="",0,EXP(-D18*'Cash Flows'!$B$21)*EXP(-'Inputs'!$B$18*'Cash Flows'!$B$21)),IF('Cash Flows'!$B$22="",0,EXP(-D18*'Cash Flows'!$B$22)*EXP(-'Inputs'!$B$18*'Cash Flows'!$B$22)),IF('Cash Flows'!$B$23="",0,EXP(-D18*'Cash Flows'!$B$23)*EXP(-'Inputs'!$B$18*'Cash Flows'!$B$23)),IF('Cash Flows'!$B$24="",0,EXP(-D18*'Cash Flows'!$B$24)*EXP(-'Inputs'!$B$18*'Cash Flows'!$B$24)),IF('Cash Flows'!$B$25="",0,EXP(-D18*'Cash Flows'!$B$25)*EXP(-'Inputs'!$B$18*'Cash Flows'!$B$25)),IF('Cash Flows'!$B$26="",0,EXP(-D18*'Cash Flows'!$B$26)*EXP(-'Inputs'!$B$18*'Cash Flows'!$B$26)),IF('Cash Flows'!$B$27="",0,EXP(-D18*'Cash Flows'!$B$27)*EXP(-'Inputs'!$B$18*'Cash Flows'!$B$27)),IF('Cash Flows'!$B$28="",0,EXP(-D18*'Cash Flows'!$B$28)*EXP(-'Inputs'!$B$18*'Cash Flows'!$B$28)),IF('Cash Flows'!$B$29="",0,EXP(-D18*'Cash Flows'!$B$29)*EXP(-'Inputs'!$B$18*'Cash Flows'!$B$29)),IF('Cash Flows'!$B$30="",0,EXP(-D18*'Cash Flows'!$B$30)*EXP(-'Inputs'!$B$18*'Cash Flows'!$B$30)),IF('Cash Flows'!$B$31="",0,EXP(-D18*'Cash Flows'!$B$31)*EXP(-'Inputs'!$B$18*'Cash Flows'!$B$31)),IF('Cash Flows'!$B$32="",0,EXP(-D18*'Cash Flows'!$B$32)*EXP(-'Inputs'!$B$18*'Cash Flows'!$B$32)),IF('Cash Flows'!$B$33="",0,EXP(-D18*'Cash Flows'!$B$33)*EXP(-'Inputs'!$B$18*'Cash Flows'!$B$33)),IF('Cash Flows'!$B$34="",0,EXP(-D18*'Cash Flows'!$B$34)*EXP(-'Inputs'!$B$18*'Cash Flows'!$B$34)),IF('Cash Flows'!$B$35="",0,EXP(-D18*'Cash Flows'!$B$35)*EXP(-'Inputs'!$B$18*'Cash Flows'!$B$35)),IF('Cash Flows'!$B$36="",0,EXP(-D18*'Cash Flows'!$B$36)*EXP(-'Inputs'!$B$18*'Cash Flows'!$B$36)),IF('Cash Flows'!$B$37="",0,EXP(-D18*'Cash Flows'!$B$37)*EXP(-'Inputs'!$B$18*'Cash Flows'!$B$37)),IF('Cash Flows'!$B$38="",0,EXP(-D18*'Cash Flows'!$B$38)*EXP(-'Inputs'!$B$18*'Cash Flows'!$B$38)),IF('Cash Flows'!$B$39="",0,EXP(-D18*'Cash Flows'!$B$39)*EXP(-'Inputs'!$B$18*'Cash Flows'!$B$39)),IF('Cash Flows'!$B$40="",0,EXP(-D18*'Cash Flows'!$B$40)*EXP(-'Inputs'!$B$18*'Cash Flows'!$B$40)),IF('Cash Flows'!$B$41="",0,EXP(-D18*'Cash Flows'!$B$41)*EXP(-'Inputs'!$B$18*'Cash Flows'!$B$41)),IF('Cash Flows'!$B$42="",0,EXP(-D18*'Cash Flows'!$B$42)*EXP(-'Inputs'!$B$18*'Cash Flows'!$B$42)),IF('Cash Flows'!$B$43="",0,EXP(-D18*'Cash Flows'!$B$43)*EXP(-'Inputs'!$B$18*'Cash Flows'!$B$43)),IF('Cash Flows'!$B$44="",0,EXP(-D18*'Cash Flows'!$B$44)*EXP(-'Inputs'!$B$18*'Cash Flows'!$B$44)),IF('Cash Flows'!$B$45="",0,EXP(-D18*'Cash Flows'!$B$45)*EXP(-'Inputs'!$B$18*'Cash Flows'!$B$45)))</x:f>
        <x:v>15.828219930225917</x:v>
      </x:c>
      <x:c r="I18" s="158" t="n">
        <x:f>SUM(IF('Cash Flows'!$B$6="",0,(EXP(-D18*'Cash Flows'!$C$6)-EXP(-D18*'Cash Flows'!$B$6))*EXP(-'Inputs'!$B$18*'Cash Flows'!$B$6)),IF('Cash Flows'!$B$7="",0,(EXP(-D18*'Cash Flows'!$C$7)-EXP(-D18*'Cash Flows'!$B$7))*EXP(-'Inputs'!$B$18*'Cash Flows'!$B$7)),IF('Cash Flows'!$B$8="",0,(EXP(-D18*'Cash Flows'!$C$8)-EXP(-D18*'Cash Flows'!$B$8))*EXP(-'Inputs'!$B$18*'Cash Flows'!$B$8)),IF('Cash Flows'!$B$9="",0,(EXP(-D18*'Cash Flows'!$C$9)-EXP(-D18*'Cash Flows'!$B$9))*EXP(-'Inputs'!$B$18*'Cash Flows'!$B$9)),IF('Cash Flows'!$B$10="",0,(EXP(-D18*'Cash Flows'!$C$10)-EXP(-D18*'Cash Flows'!$B$10))*EXP(-'Inputs'!$B$18*'Cash Flows'!$B$10)),IF('Cash Flows'!$B$11="",0,(EXP(-D18*'Cash Flows'!$C$11)-EXP(-D18*'Cash Flows'!$B$11))*EXP(-'Inputs'!$B$18*'Cash Flows'!$B$11)),IF('Cash Flows'!$B$12="",0,(EXP(-D18*'Cash Flows'!$C$12)-EXP(-D18*'Cash Flows'!$B$12))*EXP(-'Inputs'!$B$18*'Cash Flows'!$B$12)),IF('Cash Flows'!$B$13="",0,(EXP(-D18*'Cash Flows'!$C$13)-EXP(-D18*'Cash Flows'!$B$13))*EXP(-'Inputs'!$B$18*'Cash Flows'!$B$13)),IF('Cash Flows'!$B$14="",0,(EXP(-D18*'Cash Flows'!$C$14)-EXP(-D18*'Cash Flows'!$B$14))*EXP(-'Inputs'!$B$18*'Cash Flows'!$B$14)),IF('Cash Flows'!$B$15="",0,(EXP(-D18*'Cash Flows'!$C$15)-EXP(-D18*'Cash Flows'!$B$15))*EXP(-'Inputs'!$B$18*'Cash Flows'!$B$15)),IF('Cash Flows'!$B$16="",0,(EXP(-D18*'Cash Flows'!$C$16)-EXP(-D18*'Cash Flows'!$B$16))*EXP(-'Inputs'!$B$18*'Cash Flows'!$B$16)),IF('Cash Flows'!$B$17="",0,(EXP(-D18*'Cash Flows'!$C$17)-EXP(-D18*'Cash Flows'!$B$17))*EXP(-'Inputs'!$B$18*'Cash Flows'!$B$17)),IF('Cash Flows'!$B$18="",0,(EXP(-D18*'Cash Flows'!$C$18)-EXP(-D18*'Cash Flows'!$B$18))*EXP(-'Inputs'!$B$18*'Cash Flows'!$B$18)),IF('Cash Flows'!$B$19="",0,(EXP(-D18*'Cash Flows'!$C$19)-EXP(-D18*'Cash Flows'!$B$19))*EXP(-'Inputs'!$B$18*'Cash Flows'!$B$19)),IF('Cash Flows'!$B$20="",0,(EXP(-D18*'Cash Flows'!$C$20)-EXP(-D18*'Cash Flows'!$B$20))*EXP(-'Inputs'!$B$18*'Cash Flows'!$B$20)),IF('Cash Flows'!$B$21="",0,(EXP(-D18*'Cash Flows'!$C$21)-EXP(-D18*'Cash Flows'!$B$21))*EXP(-'Inputs'!$B$18*'Cash Flows'!$B$21)),IF('Cash Flows'!$B$22="",0,(EXP(-D18*'Cash Flows'!$C$22)-EXP(-D18*'Cash Flows'!$B$22))*EXP(-'Inputs'!$B$18*'Cash Flows'!$B$22)),IF('Cash Flows'!$B$23="",0,(EXP(-D18*'Cash Flows'!$C$23)-EXP(-D18*'Cash Flows'!$B$23))*EXP(-'Inputs'!$B$18*'Cash Flows'!$B$23)),IF('Cash Flows'!$B$24="",0,(EXP(-D18*'Cash Flows'!$C$24)-EXP(-D18*'Cash Flows'!$B$24))*EXP(-'Inputs'!$B$18*'Cash Flows'!$B$24)),IF('Cash Flows'!$B$25="",0,(EXP(-D18*'Cash Flows'!$C$25)-EXP(-D18*'Cash Flows'!$B$25))*EXP(-'Inputs'!$B$18*'Cash Flows'!$B$25)),IF('Cash Flows'!$B$26="",0,(EXP(-D18*'Cash Flows'!$C$26)-EXP(-D18*'Cash Flows'!$B$26))*EXP(-'Inputs'!$B$18*'Cash Flows'!$B$26)),IF('Cash Flows'!$B$27="",0,(EXP(-D18*'Cash Flows'!$C$27)-EXP(-D18*'Cash Flows'!$B$27))*EXP(-'Inputs'!$B$18*'Cash Flows'!$B$27)),IF('Cash Flows'!$B$28="",0,(EXP(-D18*'Cash Flows'!$C$28)-EXP(-D18*'Cash Flows'!$B$28))*EXP(-'Inputs'!$B$18*'Cash Flows'!$B$28)),IF('Cash Flows'!$B$29="",0,(EXP(-D18*'Cash Flows'!$C$29)-EXP(-D18*'Cash Flows'!$B$29))*EXP(-'Inputs'!$B$18*'Cash Flows'!$B$29)),IF('Cash Flows'!$B$30="",0,(EXP(-D18*'Cash Flows'!$C$30)-EXP(-D18*'Cash Flows'!$B$30))*EXP(-'Inputs'!$B$18*'Cash Flows'!$B$30)),IF('Cash Flows'!$B$31="",0,(EXP(-D18*'Cash Flows'!$C$31)-EXP(-D18*'Cash Flows'!$B$31))*EXP(-'Inputs'!$B$18*'Cash Flows'!$B$31)),IF('Cash Flows'!$B$32="",0,(EXP(-D18*'Cash Flows'!$C$32)-EXP(-D18*'Cash Flows'!$B$32))*EXP(-'Inputs'!$B$18*'Cash Flows'!$B$32)),IF('Cash Flows'!$B$33="",0,(EXP(-D18*'Cash Flows'!$C$33)-EXP(-D18*'Cash Flows'!$B$33))*EXP(-'Inputs'!$B$18*'Cash Flows'!$B$33)),IF('Cash Flows'!$B$34="",0,(EXP(-D18*'Cash Flows'!$C$34)-EXP(-D18*'Cash Flows'!$B$34))*EXP(-'Inputs'!$B$18*'Cash Flows'!$B$34)),IF('Cash Flows'!$B$35="",0,(EXP(-D18*'Cash Flows'!$C$35)-EXP(-D18*'Cash Flows'!$B$35))*EXP(-'Inputs'!$B$18*'Cash Flows'!$B$35)),IF('Cash Flows'!$B$36="",0,(EXP(-D18*'Cash Flows'!$C$36)-EXP(-D18*'Cash Flows'!$B$36))*EXP(-'Inputs'!$B$18*'Cash Flows'!$B$36)),IF('Cash Flows'!$B$37="",0,(EXP(-D18*'Cash Flows'!$C$37)-EXP(-D18*'Cash Flows'!$B$37))*EXP(-'Inputs'!$B$18*'Cash Flows'!$B$37)),IF('Cash Flows'!$B$38="",0,(EXP(-D18*'Cash Flows'!$C$38)-EXP(-D18*'Cash Flows'!$B$38))*EXP(-'Inputs'!$B$18*'Cash Flows'!$B$38)),IF('Cash Flows'!$B$39="",0,(EXP(-D18*'Cash Flows'!$C$39)-EXP(-D18*'Cash Flows'!$B$39))*EXP(-'Inputs'!$B$18*'Cash Flows'!$B$39)),IF('Cash Flows'!$B$40="",0,(EXP(-D18*'Cash Flows'!$C$40)-EXP(-D18*'Cash Flows'!$B$40))*EXP(-'Inputs'!$B$18*'Cash Flows'!$B$40)),IF('Cash Flows'!$B$41="",0,(EXP(-D18*'Cash Flows'!$C$41)-EXP(-D18*'Cash Flows'!$B$41))*EXP(-'Inputs'!$B$18*'Cash Flows'!$B$41)),IF('Cash Flows'!$B$42="",0,(EXP(-D18*'Cash Flows'!$C$42)-EXP(-D18*'Cash Flows'!$B$42))*EXP(-'Inputs'!$B$18*'Cash Flows'!$B$42)),IF('Cash Flows'!$B$43="",0,(EXP(-D18*'Cash Flows'!$C$43)-EXP(-D18*'Cash Flows'!$B$43))*EXP(-'Inputs'!$B$18*'Cash Flows'!$B$43)),IF('Cash Flows'!$B$44="",0,(EXP(-D18*'Cash Flows'!$C$44)-EXP(-D18*'Cash Flows'!$B$44))*EXP(-'Inputs'!$B$18*'Cash Flows'!$B$44)),IF('Cash Flows'!$B$45="",0,(EXP(-D18*'Cash Flows'!$C$45)-EXP(-D18*'Cash Flows'!$B$45))*EXP(-'Inputs'!$B$18*'Cash Flows'!$B$45)))</x:f>
        <x:v>0.19909449736684984</x:v>
      </x:c>
      <x:c r="J18" s="161"/>
      <x:c r="K18" s="161"/>
      <x:c r="L18" s="161"/>
      <x:c r="M18" s="161"/>
      <x:c r="N18" s="161"/>
      <x:c r="O18" s="161"/>
    </x:row>
    <x:row r="19" ht="24" customHeight="1">
      <x:c r="A19" s="129" t="str">
        <x:v>S400 / R40</x:v>
      </x:c>
      <x:c r="B19" s="136" t="n">
        <x:v>0.04</x:v>
      </x:c>
      <x:c r="C19" s="136" t="n">
        <x:v>0.4</x:v>
      </x:c>
      <x:c r="D19" s="136" t="n">
        <x:f>IF(C19&lt;1,B19/(1-C19),0)</x:f>
        <x:v>0.06666666666666667</x:v>
      </x:c>
      <x:c r="E19" s="136" t="n">
        <x:f>1-EXP(-D19*'Inputs'!$B$10)</x:f>
        <x:v>0.28346868942621073</x:v>
      </x:c>
      <x:c r="F19" s="136" t="n">
        <x:f>'Inputs'!$B$35/'Inputs'!$B$9*H19+MAX(0,C19-IF('Inputs'!$B$6="REPACK",'Inputs'!$B$21,0))*I19+EXP(-D19*'Inputs'!$B$10)*EXP(-'Inputs'!$B$18*'Inputs'!$B$10)</x:f>
        <x:v>0.9571268465986791</x:v>
      </x:c>
      <x:c r="G19" s="136" t="n">
        <x:f>IF(H19&gt;0,IF('Inputs'!$B$6="CLN",('Inputs'!$B$11-MAX(0,C19-IF('Inputs'!$B$6="REPACK",'Inputs'!$B$21,0))*I19-EXP(-D19*'Inputs'!$B$10)*EXP(-'Inputs'!$B$18*'Inputs'!$B$10))/(H19/'Inputs'!$B$9),('Inputs'!$B$11-'Inputs'!$B$29+'Inputs'!$B$28/'Inputs'!$B$9*H19+C19*I19+EXP(-D19*'Inputs'!$B$10)*EXP(-'Inputs'!$B$18*'Inputs'!$B$10)-MAX(0,C19-IF('Inputs'!$B$6="REPACK",'Inputs'!$B$21,0))*I19-EXP(-D19*'Inputs'!$B$10)*EXP(-'Inputs'!$B$18*'Inputs'!$B$10)-('Inputs'!$B$30+'Inputs'!$B$31)/'Inputs'!$B$9*H19)/(H19/'Inputs'!$B$9)),"")</x:f>
        <x:v>0.0837798530180424</x:v>
      </x:c>
      <x:c r="H19" s="157" t="n">
        <x:f>SUM(IF('Cash Flows'!$B$6="",0,EXP(-D19*'Cash Flows'!$B$6)*EXP(-'Inputs'!$B$18*'Cash Flows'!$B$6)),IF('Cash Flows'!$B$7="",0,EXP(-D19*'Cash Flows'!$B$7)*EXP(-'Inputs'!$B$18*'Cash Flows'!$B$7)),IF('Cash Flows'!$B$8="",0,EXP(-D19*'Cash Flows'!$B$8)*EXP(-'Inputs'!$B$18*'Cash Flows'!$B$8)),IF('Cash Flows'!$B$9="",0,EXP(-D19*'Cash Flows'!$B$9)*EXP(-'Inputs'!$B$18*'Cash Flows'!$B$9)),IF('Cash Flows'!$B$10="",0,EXP(-D19*'Cash Flows'!$B$10)*EXP(-'Inputs'!$B$18*'Cash Flows'!$B$10)),IF('Cash Flows'!$B$11="",0,EXP(-D19*'Cash Flows'!$B$11)*EXP(-'Inputs'!$B$18*'Cash Flows'!$B$11)),IF('Cash Flows'!$B$12="",0,EXP(-D19*'Cash Flows'!$B$12)*EXP(-'Inputs'!$B$18*'Cash Flows'!$B$12)),IF('Cash Flows'!$B$13="",0,EXP(-D19*'Cash Flows'!$B$13)*EXP(-'Inputs'!$B$18*'Cash Flows'!$B$13)),IF('Cash Flows'!$B$14="",0,EXP(-D19*'Cash Flows'!$B$14)*EXP(-'Inputs'!$B$18*'Cash Flows'!$B$14)),IF('Cash Flows'!$B$15="",0,EXP(-D19*'Cash Flows'!$B$15)*EXP(-'Inputs'!$B$18*'Cash Flows'!$B$15)),IF('Cash Flows'!$B$16="",0,EXP(-D19*'Cash Flows'!$B$16)*EXP(-'Inputs'!$B$18*'Cash Flows'!$B$16)),IF('Cash Flows'!$B$17="",0,EXP(-D19*'Cash Flows'!$B$17)*EXP(-'Inputs'!$B$18*'Cash Flows'!$B$17)),IF('Cash Flows'!$B$18="",0,EXP(-D19*'Cash Flows'!$B$18)*EXP(-'Inputs'!$B$18*'Cash Flows'!$B$18)),IF('Cash Flows'!$B$19="",0,EXP(-D19*'Cash Flows'!$B$19)*EXP(-'Inputs'!$B$18*'Cash Flows'!$B$19)),IF('Cash Flows'!$B$20="",0,EXP(-D19*'Cash Flows'!$B$20)*EXP(-'Inputs'!$B$18*'Cash Flows'!$B$20)),IF('Cash Flows'!$B$21="",0,EXP(-D19*'Cash Flows'!$B$21)*EXP(-'Inputs'!$B$18*'Cash Flows'!$B$21)),IF('Cash Flows'!$B$22="",0,EXP(-D19*'Cash Flows'!$B$22)*EXP(-'Inputs'!$B$18*'Cash Flows'!$B$22)),IF('Cash Flows'!$B$23="",0,EXP(-D19*'Cash Flows'!$B$23)*EXP(-'Inputs'!$B$18*'Cash Flows'!$B$23)),IF('Cash Flows'!$B$24="",0,EXP(-D19*'Cash Flows'!$B$24)*EXP(-'Inputs'!$B$18*'Cash Flows'!$B$24)),IF('Cash Flows'!$B$25="",0,EXP(-D19*'Cash Flows'!$B$25)*EXP(-'Inputs'!$B$18*'Cash Flows'!$B$25)),IF('Cash Flows'!$B$26="",0,EXP(-D19*'Cash Flows'!$B$26)*EXP(-'Inputs'!$B$18*'Cash Flows'!$B$26)),IF('Cash Flows'!$B$27="",0,EXP(-D19*'Cash Flows'!$B$27)*EXP(-'Inputs'!$B$18*'Cash Flows'!$B$27)),IF('Cash Flows'!$B$28="",0,EXP(-D19*'Cash Flows'!$B$28)*EXP(-'Inputs'!$B$18*'Cash Flows'!$B$28)),IF('Cash Flows'!$B$29="",0,EXP(-D19*'Cash Flows'!$B$29)*EXP(-'Inputs'!$B$18*'Cash Flows'!$B$29)),IF('Cash Flows'!$B$30="",0,EXP(-D19*'Cash Flows'!$B$30)*EXP(-'Inputs'!$B$18*'Cash Flows'!$B$30)),IF('Cash Flows'!$B$31="",0,EXP(-D19*'Cash Flows'!$B$31)*EXP(-'Inputs'!$B$18*'Cash Flows'!$B$31)),IF('Cash Flows'!$B$32="",0,EXP(-D19*'Cash Flows'!$B$32)*EXP(-'Inputs'!$B$18*'Cash Flows'!$B$32)),IF('Cash Flows'!$B$33="",0,EXP(-D19*'Cash Flows'!$B$33)*EXP(-'Inputs'!$B$18*'Cash Flows'!$B$33)),IF('Cash Flows'!$B$34="",0,EXP(-D19*'Cash Flows'!$B$34)*EXP(-'Inputs'!$B$18*'Cash Flows'!$B$34)),IF('Cash Flows'!$B$35="",0,EXP(-D19*'Cash Flows'!$B$35)*EXP(-'Inputs'!$B$18*'Cash Flows'!$B$35)),IF('Cash Flows'!$B$36="",0,EXP(-D19*'Cash Flows'!$B$36)*EXP(-'Inputs'!$B$18*'Cash Flows'!$B$36)),IF('Cash Flows'!$B$37="",0,EXP(-D19*'Cash Flows'!$B$37)*EXP(-'Inputs'!$B$18*'Cash Flows'!$B$37)),IF('Cash Flows'!$B$38="",0,EXP(-D19*'Cash Flows'!$B$38)*EXP(-'Inputs'!$B$18*'Cash Flows'!$B$38)),IF('Cash Flows'!$B$39="",0,EXP(-D19*'Cash Flows'!$B$39)*EXP(-'Inputs'!$B$18*'Cash Flows'!$B$39)),IF('Cash Flows'!$B$40="",0,EXP(-D19*'Cash Flows'!$B$40)*EXP(-'Inputs'!$B$18*'Cash Flows'!$B$40)),IF('Cash Flows'!$B$41="",0,EXP(-D19*'Cash Flows'!$B$41)*EXP(-'Inputs'!$B$18*'Cash Flows'!$B$41)),IF('Cash Flows'!$B$42="",0,EXP(-D19*'Cash Flows'!$B$42)*EXP(-'Inputs'!$B$18*'Cash Flows'!$B$42)),IF('Cash Flows'!$B$43="",0,EXP(-D19*'Cash Flows'!$B$43)*EXP(-'Inputs'!$B$18*'Cash Flows'!$B$43)),IF('Cash Flows'!$B$44="",0,EXP(-D19*'Cash Flows'!$B$44)*EXP(-'Inputs'!$B$18*'Cash Flows'!$B$44)),IF('Cash Flows'!$B$45="",0,EXP(-D19*'Cash Flows'!$B$45)*EXP(-'Inputs'!$B$18*'Cash Flows'!$B$45)))</x:f>
        <x:v>15.20344399266343</x:v>
      </x:c>
      <x:c r="I19" s="158" t="n">
        <x:f>SUM(IF('Cash Flows'!$B$6="",0,(EXP(-D19*'Cash Flows'!$C$6)-EXP(-D19*'Cash Flows'!$B$6))*EXP(-'Inputs'!$B$18*'Cash Flows'!$B$6)),IF('Cash Flows'!$B$7="",0,(EXP(-D19*'Cash Flows'!$C$7)-EXP(-D19*'Cash Flows'!$B$7))*EXP(-'Inputs'!$B$18*'Cash Flows'!$B$7)),IF('Cash Flows'!$B$8="",0,(EXP(-D19*'Cash Flows'!$C$8)-EXP(-D19*'Cash Flows'!$B$8))*EXP(-'Inputs'!$B$18*'Cash Flows'!$B$8)),IF('Cash Flows'!$B$9="",0,(EXP(-D19*'Cash Flows'!$C$9)-EXP(-D19*'Cash Flows'!$B$9))*EXP(-'Inputs'!$B$18*'Cash Flows'!$B$9)),IF('Cash Flows'!$B$10="",0,(EXP(-D19*'Cash Flows'!$C$10)-EXP(-D19*'Cash Flows'!$B$10))*EXP(-'Inputs'!$B$18*'Cash Flows'!$B$10)),IF('Cash Flows'!$B$11="",0,(EXP(-D19*'Cash Flows'!$C$11)-EXP(-D19*'Cash Flows'!$B$11))*EXP(-'Inputs'!$B$18*'Cash Flows'!$B$11)),IF('Cash Flows'!$B$12="",0,(EXP(-D19*'Cash Flows'!$C$12)-EXP(-D19*'Cash Flows'!$B$12))*EXP(-'Inputs'!$B$18*'Cash Flows'!$B$12)),IF('Cash Flows'!$B$13="",0,(EXP(-D19*'Cash Flows'!$C$13)-EXP(-D19*'Cash Flows'!$B$13))*EXP(-'Inputs'!$B$18*'Cash Flows'!$B$13)),IF('Cash Flows'!$B$14="",0,(EXP(-D19*'Cash Flows'!$C$14)-EXP(-D19*'Cash Flows'!$B$14))*EXP(-'Inputs'!$B$18*'Cash Flows'!$B$14)),IF('Cash Flows'!$B$15="",0,(EXP(-D19*'Cash Flows'!$C$15)-EXP(-D19*'Cash Flows'!$B$15))*EXP(-'Inputs'!$B$18*'Cash Flows'!$B$15)),IF('Cash Flows'!$B$16="",0,(EXP(-D19*'Cash Flows'!$C$16)-EXP(-D19*'Cash Flows'!$B$16))*EXP(-'Inputs'!$B$18*'Cash Flows'!$B$16)),IF('Cash Flows'!$B$17="",0,(EXP(-D19*'Cash Flows'!$C$17)-EXP(-D19*'Cash Flows'!$B$17))*EXP(-'Inputs'!$B$18*'Cash Flows'!$B$17)),IF('Cash Flows'!$B$18="",0,(EXP(-D19*'Cash Flows'!$C$18)-EXP(-D19*'Cash Flows'!$B$18))*EXP(-'Inputs'!$B$18*'Cash Flows'!$B$18)),IF('Cash Flows'!$B$19="",0,(EXP(-D19*'Cash Flows'!$C$19)-EXP(-D19*'Cash Flows'!$B$19))*EXP(-'Inputs'!$B$18*'Cash Flows'!$B$19)),IF('Cash Flows'!$B$20="",0,(EXP(-D19*'Cash Flows'!$C$20)-EXP(-D19*'Cash Flows'!$B$20))*EXP(-'Inputs'!$B$18*'Cash Flows'!$B$20)),IF('Cash Flows'!$B$21="",0,(EXP(-D19*'Cash Flows'!$C$21)-EXP(-D19*'Cash Flows'!$B$21))*EXP(-'Inputs'!$B$18*'Cash Flows'!$B$21)),IF('Cash Flows'!$B$22="",0,(EXP(-D19*'Cash Flows'!$C$22)-EXP(-D19*'Cash Flows'!$B$22))*EXP(-'Inputs'!$B$18*'Cash Flows'!$B$22)),IF('Cash Flows'!$B$23="",0,(EXP(-D19*'Cash Flows'!$C$23)-EXP(-D19*'Cash Flows'!$B$23))*EXP(-'Inputs'!$B$18*'Cash Flows'!$B$23)),IF('Cash Flows'!$B$24="",0,(EXP(-D19*'Cash Flows'!$C$24)-EXP(-D19*'Cash Flows'!$B$24))*EXP(-'Inputs'!$B$18*'Cash Flows'!$B$24)),IF('Cash Flows'!$B$25="",0,(EXP(-D19*'Cash Flows'!$C$25)-EXP(-D19*'Cash Flows'!$B$25))*EXP(-'Inputs'!$B$18*'Cash Flows'!$B$25)),IF('Cash Flows'!$B$26="",0,(EXP(-D19*'Cash Flows'!$C$26)-EXP(-D19*'Cash Flows'!$B$26))*EXP(-'Inputs'!$B$18*'Cash Flows'!$B$26)),IF('Cash Flows'!$B$27="",0,(EXP(-D19*'Cash Flows'!$C$27)-EXP(-D19*'Cash Flows'!$B$27))*EXP(-'Inputs'!$B$18*'Cash Flows'!$B$27)),IF('Cash Flows'!$B$28="",0,(EXP(-D19*'Cash Flows'!$C$28)-EXP(-D19*'Cash Flows'!$B$28))*EXP(-'Inputs'!$B$18*'Cash Flows'!$B$28)),IF('Cash Flows'!$B$29="",0,(EXP(-D19*'Cash Flows'!$C$29)-EXP(-D19*'Cash Flows'!$B$29))*EXP(-'Inputs'!$B$18*'Cash Flows'!$B$29)),IF('Cash Flows'!$B$30="",0,(EXP(-D19*'Cash Flows'!$C$30)-EXP(-D19*'Cash Flows'!$B$30))*EXP(-'Inputs'!$B$18*'Cash Flows'!$B$30)),IF('Cash Flows'!$B$31="",0,(EXP(-D19*'Cash Flows'!$C$31)-EXP(-D19*'Cash Flows'!$B$31))*EXP(-'Inputs'!$B$18*'Cash Flows'!$B$31)),IF('Cash Flows'!$B$32="",0,(EXP(-D19*'Cash Flows'!$C$32)-EXP(-D19*'Cash Flows'!$B$32))*EXP(-'Inputs'!$B$18*'Cash Flows'!$B$32)),IF('Cash Flows'!$B$33="",0,(EXP(-D19*'Cash Flows'!$C$33)-EXP(-D19*'Cash Flows'!$B$33))*EXP(-'Inputs'!$B$18*'Cash Flows'!$B$33)),IF('Cash Flows'!$B$34="",0,(EXP(-D19*'Cash Flows'!$C$34)-EXP(-D19*'Cash Flows'!$B$34))*EXP(-'Inputs'!$B$18*'Cash Flows'!$B$34)),IF('Cash Flows'!$B$35="",0,(EXP(-D19*'Cash Flows'!$C$35)-EXP(-D19*'Cash Flows'!$B$35))*EXP(-'Inputs'!$B$18*'Cash Flows'!$B$35)),IF('Cash Flows'!$B$36="",0,(EXP(-D19*'Cash Flows'!$C$36)-EXP(-D19*'Cash Flows'!$B$36))*EXP(-'Inputs'!$B$18*'Cash Flows'!$B$36)),IF('Cash Flows'!$B$37="",0,(EXP(-D19*'Cash Flows'!$C$37)-EXP(-D19*'Cash Flows'!$B$37))*EXP(-'Inputs'!$B$18*'Cash Flows'!$B$37)),IF('Cash Flows'!$B$38="",0,(EXP(-D19*'Cash Flows'!$C$38)-EXP(-D19*'Cash Flows'!$B$38))*EXP(-'Inputs'!$B$18*'Cash Flows'!$B$38)),IF('Cash Flows'!$B$39="",0,(EXP(-D19*'Cash Flows'!$C$39)-EXP(-D19*'Cash Flows'!$B$39))*EXP(-'Inputs'!$B$18*'Cash Flows'!$B$39)),IF('Cash Flows'!$B$40="",0,(EXP(-D19*'Cash Flows'!$C$40)-EXP(-D19*'Cash Flows'!$B$40))*EXP(-'Inputs'!$B$18*'Cash Flows'!$B$40)),IF('Cash Flows'!$B$41="",0,(EXP(-D19*'Cash Flows'!$C$41)-EXP(-D19*'Cash Flows'!$B$41))*EXP(-'Inputs'!$B$18*'Cash Flows'!$B$41)),IF('Cash Flows'!$B$42="",0,(EXP(-D19*'Cash Flows'!$C$42)-EXP(-D19*'Cash Flows'!$B$42))*EXP(-'Inputs'!$B$18*'Cash Flows'!$B$42)),IF('Cash Flows'!$B$43="",0,(EXP(-D19*'Cash Flows'!$C$43)-EXP(-D19*'Cash Flows'!$B$43))*EXP(-'Inputs'!$B$18*'Cash Flows'!$B$43)),IF('Cash Flows'!$B$44="",0,(EXP(-D19*'Cash Flows'!$C$44)-EXP(-D19*'Cash Flows'!$B$44))*EXP(-'Inputs'!$B$18*'Cash Flows'!$B$44)),IF('Cash Flows'!$B$45="",0,(EXP(-D19*'Cash Flows'!$C$45)-EXP(-D19*'Cash Flows'!$B$45))*EXP(-'Inputs'!$B$18*'Cash Flows'!$B$45)))</x:f>
        <x:v>0.25551410274971637</x:v>
      </x:c>
      <x:c r="J19" s="161" t="str">
        <x:v>Boundary: flat rates, constant hazard, no bid-offer or liquidity; not executable pricing.</x:v>
      </x:c>
      <x:c r="K19" s="161"/>
      <x:c r="L19" s="161"/>
      <x:c r="M19" s="161"/>
      <x:c r="N19" s="161"/>
      <x:c r="O19" s="161"/>
    </x:row>
    <x:row r="20" ht="24" customHeight="1">
      <x:c r="A20" s="129" t="str">
        <x:v>S600 / R40</x:v>
      </x:c>
      <x:c r="B20" s="136" t="n">
        <x:v>0.06</x:v>
      </x:c>
      <x:c r="C20" s="136" t="n">
        <x:v>0.4</x:v>
      </x:c>
      <x:c r="D20" s="136" t="n">
        <x:f>IF(C20&lt;1,B20/(1-C20),0)</x:f>
        <x:v>0.1</x:v>
      </x:c>
      <x:c r="E20" s="136" t="n">
        <x:f>1-EXP(-D20*'Inputs'!$B$10)</x:f>
        <x:v>0.3934693402873666</x:v>
      </x:c>
      <x:c r="F20" s="136" t="n">
        <x:f>'Inputs'!$B$35/'Inputs'!$B$9*H20+MAX(0,C20-IF('Inputs'!$B$6="REPACK",'Inputs'!$B$21,0))*I20+EXP(-D20*'Inputs'!$B$10)*EXP(-'Inputs'!$B$18*'Inputs'!$B$10)</x:f>
        <x:v>0.887366900120558</x:v>
      </x:c>
      <x:c r="G20" s="136" t="n">
        <x:f>IF(H20&gt;0,IF('Inputs'!$B$6="CLN",('Inputs'!$B$11-MAX(0,C20-IF('Inputs'!$B$6="REPACK",'Inputs'!$B$21,0))*I20-EXP(-D20*'Inputs'!$B$10)*EXP(-'Inputs'!$B$18*'Inputs'!$B$10))/(H20/'Inputs'!$B$9),('Inputs'!$B$11-'Inputs'!$B$29+'Inputs'!$B$28/'Inputs'!$B$9*H20+C20*I20+EXP(-D20*'Inputs'!$B$10)*EXP(-'Inputs'!$B$18*'Inputs'!$B$10)-MAX(0,C20-IF('Inputs'!$B$6="REPACK",'Inputs'!$B$21,0))*I20-EXP(-D20*'Inputs'!$B$10)*EXP(-'Inputs'!$B$18*'Inputs'!$B$10)-('Inputs'!$B$30+'Inputs'!$B$31)/'Inputs'!$B$9*H20)/(H20/'Inputs'!$B$9)),"")</x:f>
        <x:v>0.10456450087788771</x:v>
      </x:c>
      <x:c r="H20" s="157" t="n">
        <x:f>SUM(IF('Cash Flows'!$B$6="",0,EXP(-D20*'Cash Flows'!$B$6)*EXP(-'Inputs'!$B$18*'Cash Flows'!$B$6)),IF('Cash Flows'!$B$7="",0,EXP(-D20*'Cash Flows'!$B$7)*EXP(-'Inputs'!$B$18*'Cash Flows'!$B$7)),IF('Cash Flows'!$B$8="",0,EXP(-D20*'Cash Flows'!$B$8)*EXP(-'Inputs'!$B$18*'Cash Flows'!$B$8)),IF('Cash Flows'!$B$9="",0,EXP(-D20*'Cash Flows'!$B$9)*EXP(-'Inputs'!$B$18*'Cash Flows'!$B$9)),IF('Cash Flows'!$B$10="",0,EXP(-D20*'Cash Flows'!$B$10)*EXP(-'Inputs'!$B$18*'Cash Flows'!$B$10)),IF('Cash Flows'!$B$11="",0,EXP(-D20*'Cash Flows'!$B$11)*EXP(-'Inputs'!$B$18*'Cash Flows'!$B$11)),IF('Cash Flows'!$B$12="",0,EXP(-D20*'Cash Flows'!$B$12)*EXP(-'Inputs'!$B$18*'Cash Flows'!$B$12)),IF('Cash Flows'!$B$13="",0,EXP(-D20*'Cash Flows'!$B$13)*EXP(-'Inputs'!$B$18*'Cash Flows'!$B$13)),IF('Cash Flows'!$B$14="",0,EXP(-D20*'Cash Flows'!$B$14)*EXP(-'Inputs'!$B$18*'Cash Flows'!$B$14)),IF('Cash Flows'!$B$15="",0,EXP(-D20*'Cash Flows'!$B$15)*EXP(-'Inputs'!$B$18*'Cash Flows'!$B$15)),IF('Cash Flows'!$B$16="",0,EXP(-D20*'Cash Flows'!$B$16)*EXP(-'Inputs'!$B$18*'Cash Flows'!$B$16)),IF('Cash Flows'!$B$17="",0,EXP(-D20*'Cash Flows'!$B$17)*EXP(-'Inputs'!$B$18*'Cash Flows'!$B$17)),IF('Cash Flows'!$B$18="",0,EXP(-D20*'Cash Flows'!$B$18)*EXP(-'Inputs'!$B$18*'Cash Flows'!$B$18)),IF('Cash Flows'!$B$19="",0,EXP(-D20*'Cash Flows'!$B$19)*EXP(-'Inputs'!$B$18*'Cash Flows'!$B$19)),IF('Cash Flows'!$B$20="",0,EXP(-D20*'Cash Flows'!$B$20)*EXP(-'Inputs'!$B$18*'Cash Flows'!$B$20)),IF('Cash Flows'!$B$21="",0,EXP(-D20*'Cash Flows'!$B$21)*EXP(-'Inputs'!$B$18*'Cash Flows'!$B$21)),IF('Cash Flows'!$B$22="",0,EXP(-D20*'Cash Flows'!$B$22)*EXP(-'Inputs'!$B$18*'Cash Flows'!$B$22)),IF('Cash Flows'!$B$23="",0,EXP(-D20*'Cash Flows'!$B$23)*EXP(-'Inputs'!$B$18*'Cash Flows'!$B$23)),IF('Cash Flows'!$B$24="",0,EXP(-D20*'Cash Flows'!$B$24)*EXP(-'Inputs'!$B$18*'Cash Flows'!$B$24)),IF('Cash Flows'!$B$25="",0,EXP(-D20*'Cash Flows'!$B$25)*EXP(-'Inputs'!$B$18*'Cash Flows'!$B$25)),IF('Cash Flows'!$B$26="",0,EXP(-D20*'Cash Flows'!$B$26)*EXP(-'Inputs'!$B$18*'Cash Flows'!$B$26)),IF('Cash Flows'!$B$27="",0,EXP(-D20*'Cash Flows'!$B$27)*EXP(-'Inputs'!$B$18*'Cash Flows'!$B$27)),IF('Cash Flows'!$B$28="",0,EXP(-D20*'Cash Flows'!$B$28)*EXP(-'Inputs'!$B$18*'Cash Flows'!$B$28)),IF('Cash Flows'!$B$29="",0,EXP(-D20*'Cash Flows'!$B$29)*EXP(-'Inputs'!$B$18*'Cash Flows'!$B$29)),IF('Cash Flows'!$B$30="",0,EXP(-D20*'Cash Flows'!$B$30)*EXP(-'Inputs'!$B$18*'Cash Flows'!$B$30)),IF('Cash Flows'!$B$31="",0,EXP(-D20*'Cash Flows'!$B$31)*EXP(-'Inputs'!$B$18*'Cash Flows'!$B$31)),IF('Cash Flows'!$B$32="",0,EXP(-D20*'Cash Flows'!$B$32)*EXP(-'Inputs'!$B$18*'Cash Flows'!$B$32)),IF('Cash Flows'!$B$33="",0,EXP(-D20*'Cash Flows'!$B$33)*EXP(-'Inputs'!$B$18*'Cash Flows'!$B$33)),IF('Cash Flows'!$B$34="",0,EXP(-D20*'Cash Flows'!$B$34)*EXP(-'Inputs'!$B$18*'Cash Flows'!$B$34)),IF('Cash Flows'!$B$35="",0,EXP(-D20*'Cash Flows'!$B$35)*EXP(-'Inputs'!$B$18*'Cash Flows'!$B$35)),IF('Cash Flows'!$B$36="",0,EXP(-D20*'Cash Flows'!$B$36)*EXP(-'Inputs'!$B$18*'Cash Flows'!$B$36)),IF('Cash Flows'!$B$37="",0,EXP(-D20*'Cash Flows'!$B$37)*EXP(-'Inputs'!$B$18*'Cash Flows'!$B$37)),IF('Cash Flows'!$B$38="",0,EXP(-D20*'Cash Flows'!$B$38)*EXP(-'Inputs'!$B$18*'Cash Flows'!$B$38)),IF('Cash Flows'!$B$39="",0,EXP(-D20*'Cash Flows'!$B$39)*EXP(-'Inputs'!$B$18*'Cash Flows'!$B$39)),IF('Cash Flows'!$B$40="",0,EXP(-D20*'Cash Flows'!$B$40)*EXP(-'Inputs'!$B$18*'Cash Flows'!$B$40)),IF('Cash Flows'!$B$41="",0,EXP(-D20*'Cash Flows'!$B$41)*EXP(-'Inputs'!$B$18*'Cash Flows'!$B$41)),IF('Cash Flows'!$B$42="",0,EXP(-D20*'Cash Flows'!$B$42)*EXP(-'Inputs'!$B$18*'Cash Flows'!$B$42)),IF('Cash Flows'!$B$43="",0,EXP(-D20*'Cash Flows'!$B$43)*EXP(-'Inputs'!$B$18*'Cash Flows'!$B$43)),IF('Cash Flows'!$B$44="",0,EXP(-D20*'Cash Flows'!$B$44)*EXP(-'Inputs'!$B$18*'Cash Flows'!$B$44)),IF('Cash Flows'!$B$45="",0,EXP(-D20*'Cash Flows'!$B$45)*EXP(-'Inputs'!$B$18*'Cash Flows'!$B$45)))</x:f>
        <x:v>14.050815923614255</x:v>
      </x:c>
      <x:c r="I20" s="158" t="n">
        <x:f>SUM(IF('Cash Flows'!$B$6="",0,(EXP(-D20*'Cash Flows'!$C$6)-EXP(-D20*'Cash Flows'!$B$6))*EXP(-'Inputs'!$B$18*'Cash Flows'!$B$6)),IF('Cash Flows'!$B$7="",0,(EXP(-D20*'Cash Flows'!$C$7)-EXP(-D20*'Cash Flows'!$B$7))*EXP(-'Inputs'!$B$18*'Cash Flows'!$B$7)),IF('Cash Flows'!$B$8="",0,(EXP(-D20*'Cash Flows'!$C$8)-EXP(-D20*'Cash Flows'!$B$8))*EXP(-'Inputs'!$B$18*'Cash Flows'!$B$8)),IF('Cash Flows'!$B$9="",0,(EXP(-D20*'Cash Flows'!$C$9)-EXP(-D20*'Cash Flows'!$B$9))*EXP(-'Inputs'!$B$18*'Cash Flows'!$B$9)),IF('Cash Flows'!$B$10="",0,(EXP(-D20*'Cash Flows'!$C$10)-EXP(-D20*'Cash Flows'!$B$10))*EXP(-'Inputs'!$B$18*'Cash Flows'!$B$10)),IF('Cash Flows'!$B$11="",0,(EXP(-D20*'Cash Flows'!$C$11)-EXP(-D20*'Cash Flows'!$B$11))*EXP(-'Inputs'!$B$18*'Cash Flows'!$B$11)),IF('Cash Flows'!$B$12="",0,(EXP(-D20*'Cash Flows'!$C$12)-EXP(-D20*'Cash Flows'!$B$12))*EXP(-'Inputs'!$B$18*'Cash Flows'!$B$12)),IF('Cash Flows'!$B$13="",0,(EXP(-D20*'Cash Flows'!$C$13)-EXP(-D20*'Cash Flows'!$B$13))*EXP(-'Inputs'!$B$18*'Cash Flows'!$B$13)),IF('Cash Flows'!$B$14="",0,(EXP(-D20*'Cash Flows'!$C$14)-EXP(-D20*'Cash Flows'!$B$14))*EXP(-'Inputs'!$B$18*'Cash Flows'!$B$14)),IF('Cash Flows'!$B$15="",0,(EXP(-D20*'Cash Flows'!$C$15)-EXP(-D20*'Cash Flows'!$B$15))*EXP(-'Inputs'!$B$18*'Cash Flows'!$B$15)),IF('Cash Flows'!$B$16="",0,(EXP(-D20*'Cash Flows'!$C$16)-EXP(-D20*'Cash Flows'!$B$16))*EXP(-'Inputs'!$B$18*'Cash Flows'!$B$16)),IF('Cash Flows'!$B$17="",0,(EXP(-D20*'Cash Flows'!$C$17)-EXP(-D20*'Cash Flows'!$B$17))*EXP(-'Inputs'!$B$18*'Cash Flows'!$B$17)),IF('Cash Flows'!$B$18="",0,(EXP(-D20*'Cash Flows'!$C$18)-EXP(-D20*'Cash Flows'!$B$18))*EXP(-'Inputs'!$B$18*'Cash Flows'!$B$18)),IF('Cash Flows'!$B$19="",0,(EXP(-D20*'Cash Flows'!$C$19)-EXP(-D20*'Cash Flows'!$B$19))*EXP(-'Inputs'!$B$18*'Cash Flows'!$B$19)),IF('Cash Flows'!$B$20="",0,(EXP(-D20*'Cash Flows'!$C$20)-EXP(-D20*'Cash Flows'!$B$20))*EXP(-'Inputs'!$B$18*'Cash Flows'!$B$20)),IF('Cash Flows'!$B$21="",0,(EXP(-D20*'Cash Flows'!$C$21)-EXP(-D20*'Cash Flows'!$B$21))*EXP(-'Inputs'!$B$18*'Cash Flows'!$B$21)),IF('Cash Flows'!$B$22="",0,(EXP(-D20*'Cash Flows'!$C$22)-EXP(-D20*'Cash Flows'!$B$22))*EXP(-'Inputs'!$B$18*'Cash Flows'!$B$22)),IF('Cash Flows'!$B$23="",0,(EXP(-D20*'Cash Flows'!$C$23)-EXP(-D20*'Cash Flows'!$B$23))*EXP(-'Inputs'!$B$18*'Cash Flows'!$B$23)),IF('Cash Flows'!$B$24="",0,(EXP(-D20*'Cash Flows'!$C$24)-EXP(-D20*'Cash Flows'!$B$24))*EXP(-'Inputs'!$B$18*'Cash Flows'!$B$24)),IF('Cash Flows'!$B$25="",0,(EXP(-D20*'Cash Flows'!$C$25)-EXP(-D20*'Cash Flows'!$B$25))*EXP(-'Inputs'!$B$18*'Cash Flows'!$B$25)),IF('Cash Flows'!$B$26="",0,(EXP(-D20*'Cash Flows'!$C$26)-EXP(-D20*'Cash Flows'!$B$26))*EXP(-'Inputs'!$B$18*'Cash Flows'!$B$26)),IF('Cash Flows'!$B$27="",0,(EXP(-D20*'Cash Flows'!$C$27)-EXP(-D20*'Cash Flows'!$B$27))*EXP(-'Inputs'!$B$18*'Cash Flows'!$B$27)),IF('Cash Flows'!$B$28="",0,(EXP(-D20*'Cash Flows'!$C$28)-EXP(-D20*'Cash Flows'!$B$28))*EXP(-'Inputs'!$B$18*'Cash Flows'!$B$28)),IF('Cash Flows'!$B$29="",0,(EXP(-D20*'Cash Flows'!$C$29)-EXP(-D20*'Cash Flows'!$B$29))*EXP(-'Inputs'!$B$18*'Cash Flows'!$B$29)),IF('Cash Flows'!$B$30="",0,(EXP(-D20*'Cash Flows'!$C$30)-EXP(-D20*'Cash Flows'!$B$30))*EXP(-'Inputs'!$B$18*'Cash Flows'!$B$30)),IF('Cash Flows'!$B$31="",0,(EXP(-D20*'Cash Flows'!$C$31)-EXP(-D20*'Cash Flows'!$B$31))*EXP(-'Inputs'!$B$18*'Cash Flows'!$B$31)),IF('Cash Flows'!$B$32="",0,(EXP(-D20*'Cash Flows'!$C$32)-EXP(-D20*'Cash Flows'!$B$32))*EXP(-'Inputs'!$B$18*'Cash Flows'!$B$32)),IF('Cash Flows'!$B$33="",0,(EXP(-D20*'Cash Flows'!$C$33)-EXP(-D20*'Cash Flows'!$B$33))*EXP(-'Inputs'!$B$18*'Cash Flows'!$B$33)),IF('Cash Flows'!$B$34="",0,(EXP(-D20*'Cash Flows'!$C$34)-EXP(-D20*'Cash Flows'!$B$34))*EXP(-'Inputs'!$B$18*'Cash Flows'!$B$34)),IF('Cash Flows'!$B$35="",0,(EXP(-D20*'Cash Flows'!$C$35)-EXP(-D20*'Cash Flows'!$B$35))*EXP(-'Inputs'!$B$18*'Cash Flows'!$B$35)),IF('Cash Flows'!$B$36="",0,(EXP(-D20*'Cash Flows'!$C$36)-EXP(-D20*'Cash Flows'!$B$36))*EXP(-'Inputs'!$B$18*'Cash Flows'!$B$36)),IF('Cash Flows'!$B$37="",0,(EXP(-D20*'Cash Flows'!$C$37)-EXP(-D20*'Cash Flows'!$B$37))*EXP(-'Inputs'!$B$18*'Cash Flows'!$B$37)),IF('Cash Flows'!$B$38="",0,(EXP(-D20*'Cash Flows'!$C$38)-EXP(-D20*'Cash Flows'!$B$38))*EXP(-'Inputs'!$B$18*'Cash Flows'!$B$38)),IF('Cash Flows'!$B$39="",0,(EXP(-D20*'Cash Flows'!$C$39)-EXP(-D20*'Cash Flows'!$B$39))*EXP(-'Inputs'!$B$18*'Cash Flows'!$B$39)),IF('Cash Flows'!$B$40="",0,(EXP(-D20*'Cash Flows'!$C$40)-EXP(-D20*'Cash Flows'!$B$40))*EXP(-'Inputs'!$B$18*'Cash Flows'!$B$40)),IF('Cash Flows'!$B$41="",0,(EXP(-D20*'Cash Flows'!$C$41)-EXP(-D20*'Cash Flows'!$B$41))*EXP(-'Inputs'!$B$18*'Cash Flows'!$B$41)),IF('Cash Flows'!$B$42="",0,(EXP(-D20*'Cash Flows'!$C$42)-EXP(-D20*'Cash Flows'!$B$42))*EXP(-'Inputs'!$B$18*'Cash Flows'!$B$42)),IF('Cash Flows'!$B$43="",0,(EXP(-D20*'Cash Flows'!$C$43)-EXP(-D20*'Cash Flows'!$B$43))*EXP(-'Inputs'!$B$18*'Cash Flows'!$B$43)),IF('Cash Flows'!$B$44="",0,(EXP(-D20*'Cash Flows'!$C$44)-EXP(-D20*'Cash Flows'!$B$44))*EXP(-'Inputs'!$B$18*'Cash Flows'!$B$44)),IF('Cash Flows'!$B$45="",0,(EXP(-D20*'Cash Flows'!$C$45)-EXP(-D20*'Cash Flows'!$B$45))*EXP(-'Inputs'!$B$18*'Cash Flows'!$B$45)))</x:f>
        <x:v>0.35569809857285883</x:v>
      </x:c>
      <x:c r="J20" s="161" t="str">
        <x:v>Control: all grid cells are live formulas. See Checks for independent Python comparisons.</x:v>
      </x:c>
      <x:c r="K20" s="161"/>
      <x:c r="L20" s="161"/>
      <x:c r="M20" s="161"/>
      <x:c r="N20" s="161"/>
      <x:c r="O20" s="161"/>
    </x:row>
    <x:row r="21">
      <x:c r="A21" s="129" t="str">
        <x:v>S100 / R50</x:v>
      </x:c>
      <x:c r="B21" s="136" t="n">
        <x:v>0.01</x:v>
      </x:c>
      <x:c r="C21" s="136" t="n">
        <x:v>0.5</x:v>
      </x:c>
      <x:c r="D21" s="136" t="n">
        <x:f>IF(C21&lt;1,B21/(1-C21),0)</x:f>
        <x:v>0.02</x:v>
      </x:c>
      <x:c r="E21" s="136" t="n">
        <x:f>1-EXP(-D21*'Inputs'!$B$10)</x:f>
        <x:v>0.09516258196404048</x:v>
      </x:c>
      <x:c r="F21" s="136" t="n">
        <x:f>'Inputs'!$B$35/'Inputs'!$B$9*H21+MAX(0,C21-IF('Inputs'!$B$6="REPACK",'Inputs'!$B$21,0))*I21+EXP(-D21*'Inputs'!$B$10)*EXP(-'Inputs'!$B$18*'Inputs'!$B$10)</x:f>
        <x:v>1.0832291874515714</x:v>
      </x:c>
      <x:c r="G21" s="136" t="n">
        <x:f>IF(H21&gt;0,IF('Inputs'!$B$6="CLN",('Inputs'!$B$11-MAX(0,C21-IF('Inputs'!$B$6="REPACK",'Inputs'!$B$21,0))*I21-EXP(-D21*'Inputs'!$B$10)*EXP(-'Inputs'!$B$18*'Inputs'!$B$10))/(H21/'Inputs'!$B$9),('Inputs'!$B$11-'Inputs'!$B$29+'Inputs'!$B$28/'Inputs'!$B$9*H21+C21*I21+EXP(-D21*'Inputs'!$B$10)*EXP(-'Inputs'!$B$18*'Inputs'!$B$10)-MAX(0,C21-IF('Inputs'!$B$6="REPACK",'Inputs'!$B$21,0))*I21-EXP(-D21*'Inputs'!$B$10)*EXP(-'Inputs'!$B$18*'Inputs'!$B$10)-('Inputs'!$B$30+'Inputs'!$B$31)/'Inputs'!$B$9*H21)/(H21/'Inputs'!$B$9)),"")</x:f>
        <x:v>0.05296579262794089</x:v>
      </x:c>
      <x:c r="H21" s="157" t="n">
        <x:f>SUM(IF('Cash Flows'!$B$6="",0,EXP(-D21*'Cash Flows'!$B$6)*EXP(-'Inputs'!$B$18*'Cash Flows'!$B$6)),IF('Cash Flows'!$B$7="",0,EXP(-D21*'Cash Flows'!$B$7)*EXP(-'Inputs'!$B$18*'Cash Flows'!$B$7)),IF('Cash Flows'!$B$8="",0,EXP(-D21*'Cash Flows'!$B$8)*EXP(-'Inputs'!$B$18*'Cash Flows'!$B$8)),IF('Cash Flows'!$B$9="",0,EXP(-D21*'Cash Flows'!$B$9)*EXP(-'Inputs'!$B$18*'Cash Flows'!$B$9)),IF('Cash Flows'!$B$10="",0,EXP(-D21*'Cash Flows'!$B$10)*EXP(-'Inputs'!$B$18*'Cash Flows'!$B$10)),IF('Cash Flows'!$B$11="",0,EXP(-D21*'Cash Flows'!$B$11)*EXP(-'Inputs'!$B$18*'Cash Flows'!$B$11)),IF('Cash Flows'!$B$12="",0,EXP(-D21*'Cash Flows'!$B$12)*EXP(-'Inputs'!$B$18*'Cash Flows'!$B$12)),IF('Cash Flows'!$B$13="",0,EXP(-D21*'Cash Flows'!$B$13)*EXP(-'Inputs'!$B$18*'Cash Flows'!$B$13)),IF('Cash Flows'!$B$14="",0,EXP(-D21*'Cash Flows'!$B$14)*EXP(-'Inputs'!$B$18*'Cash Flows'!$B$14)),IF('Cash Flows'!$B$15="",0,EXP(-D21*'Cash Flows'!$B$15)*EXP(-'Inputs'!$B$18*'Cash Flows'!$B$15)),IF('Cash Flows'!$B$16="",0,EXP(-D21*'Cash Flows'!$B$16)*EXP(-'Inputs'!$B$18*'Cash Flows'!$B$16)),IF('Cash Flows'!$B$17="",0,EXP(-D21*'Cash Flows'!$B$17)*EXP(-'Inputs'!$B$18*'Cash Flows'!$B$17)),IF('Cash Flows'!$B$18="",0,EXP(-D21*'Cash Flows'!$B$18)*EXP(-'Inputs'!$B$18*'Cash Flows'!$B$18)),IF('Cash Flows'!$B$19="",0,EXP(-D21*'Cash Flows'!$B$19)*EXP(-'Inputs'!$B$18*'Cash Flows'!$B$19)),IF('Cash Flows'!$B$20="",0,EXP(-D21*'Cash Flows'!$B$20)*EXP(-'Inputs'!$B$18*'Cash Flows'!$B$20)),IF('Cash Flows'!$B$21="",0,EXP(-D21*'Cash Flows'!$B$21)*EXP(-'Inputs'!$B$18*'Cash Flows'!$B$21)),IF('Cash Flows'!$B$22="",0,EXP(-D21*'Cash Flows'!$B$22)*EXP(-'Inputs'!$B$18*'Cash Flows'!$B$22)),IF('Cash Flows'!$B$23="",0,EXP(-D21*'Cash Flows'!$B$23)*EXP(-'Inputs'!$B$18*'Cash Flows'!$B$23)),IF('Cash Flows'!$B$24="",0,EXP(-D21*'Cash Flows'!$B$24)*EXP(-'Inputs'!$B$18*'Cash Flows'!$B$24)),IF('Cash Flows'!$B$25="",0,EXP(-D21*'Cash Flows'!$B$25)*EXP(-'Inputs'!$B$18*'Cash Flows'!$B$25)),IF('Cash Flows'!$B$26="",0,EXP(-D21*'Cash Flows'!$B$26)*EXP(-'Inputs'!$B$18*'Cash Flows'!$B$26)),IF('Cash Flows'!$B$27="",0,EXP(-D21*'Cash Flows'!$B$27)*EXP(-'Inputs'!$B$18*'Cash Flows'!$B$27)),IF('Cash Flows'!$B$28="",0,EXP(-D21*'Cash Flows'!$B$28)*EXP(-'Inputs'!$B$18*'Cash Flows'!$B$28)),IF('Cash Flows'!$B$29="",0,EXP(-D21*'Cash Flows'!$B$29)*EXP(-'Inputs'!$B$18*'Cash Flows'!$B$29)),IF('Cash Flows'!$B$30="",0,EXP(-D21*'Cash Flows'!$B$30)*EXP(-'Inputs'!$B$18*'Cash Flows'!$B$30)),IF('Cash Flows'!$B$31="",0,EXP(-D21*'Cash Flows'!$B$31)*EXP(-'Inputs'!$B$18*'Cash Flows'!$B$31)),IF('Cash Flows'!$B$32="",0,EXP(-D21*'Cash Flows'!$B$32)*EXP(-'Inputs'!$B$18*'Cash Flows'!$B$32)),IF('Cash Flows'!$B$33="",0,EXP(-D21*'Cash Flows'!$B$33)*EXP(-'Inputs'!$B$18*'Cash Flows'!$B$33)),IF('Cash Flows'!$B$34="",0,EXP(-D21*'Cash Flows'!$B$34)*EXP(-'Inputs'!$B$18*'Cash Flows'!$B$34)),IF('Cash Flows'!$B$35="",0,EXP(-D21*'Cash Flows'!$B$35)*EXP(-'Inputs'!$B$18*'Cash Flows'!$B$35)),IF('Cash Flows'!$B$36="",0,EXP(-D21*'Cash Flows'!$B$36)*EXP(-'Inputs'!$B$18*'Cash Flows'!$B$36)),IF('Cash Flows'!$B$37="",0,EXP(-D21*'Cash Flows'!$B$37)*EXP(-'Inputs'!$B$18*'Cash Flows'!$B$37)),IF('Cash Flows'!$B$38="",0,EXP(-D21*'Cash Flows'!$B$38)*EXP(-'Inputs'!$B$18*'Cash Flows'!$B$38)),IF('Cash Flows'!$B$39="",0,EXP(-D21*'Cash Flows'!$B$39)*EXP(-'Inputs'!$B$18*'Cash Flows'!$B$39)),IF('Cash Flows'!$B$40="",0,EXP(-D21*'Cash Flows'!$B$40)*EXP(-'Inputs'!$B$18*'Cash Flows'!$B$40)),IF('Cash Flows'!$B$41="",0,EXP(-D21*'Cash Flows'!$B$41)*EXP(-'Inputs'!$B$18*'Cash Flows'!$B$41)),IF('Cash Flows'!$B$42="",0,EXP(-D21*'Cash Flows'!$B$42)*EXP(-'Inputs'!$B$18*'Cash Flows'!$B$42)),IF('Cash Flows'!$B$43="",0,EXP(-D21*'Cash Flows'!$B$43)*EXP(-'Inputs'!$B$18*'Cash Flows'!$B$43)),IF('Cash Flows'!$B$44="",0,EXP(-D21*'Cash Flows'!$B$44)*EXP(-'Inputs'!$B$18*'Cash Flows'!$B$44)),IF('Cash Flows'!$B$45="",0,EXP(-D21*'Cash Flows'!$B$45)*EXP(-'Inputs'!$B$18*'Cash Flows'!$B$45)))</x:f>
        <x:v>17.042757019282778</x:v>
      </x:c>
      <x:c r="I21" s="158" t="n">
        <x:f>SUM(IF('Cash Flows'!$B$6="",0,(EXP(-D21*'Cash Flows'!$C$6)-EXP(-D21*'Cash Flows'!$B$6))*EXP(-'Inputs'!$B$18*'Cash Flows'!$B$6)),IF('Cash Flows'!$B$7="",0,(EXP(-D21*'Cash Flows'!$C$7)-EXP(-D21*'Cash Flows'!$B$7))*EXP(-'Inputs'!$B$18*'Cash Flows'!$B$7)),IF('Cash Flows'!$B$8="",0,(EXP(-D21*'Cash Flows'!$C$8)-EXP(-D21*'Cash Flows'!$B$8))*EXP(-'Inputs'!$B$18*'Cash Flows'!$B$8)),IF('Cash Flows'!$B$9="",0,(EXP(-D21*'Cash Flows'!$C$9)-EXP(-D21*'Cash Flows'!$B$9))*EXP(-'Inputs'!$B$18*'Cash Flows'!$B$9)),IF('Cash Flows'!$B$10="",0,(EXP(-D21*'Cash Flows'!$C$10)-EXP(-D21*'Cash Flows'!$B$10))*EXP(-'Inputs'!$B$18*'Cash Flows'!$B$10)),IF('Cash Flows'!$B$11="",0,(EXP(-D21*'Cash Flows'!$C$11)-EXP(-D21*'Cash Flows'!$B$11))*EXP(-'Inputs'!$B$18*'Cash Flows'!$B$11)),IF('Cash Flows'!$B$12="",0,(EXP(-D21*'Cash Flows'!$C$12)-EXP(-D21*'Cash Flows'!$B$12))*EXP(-'Inputs'!$B$18*'Cash Flows'!$B$12)),IF('Cash Flows'!$B$13="",0,(EXP(-D21*'Cash Flows'!$C$13)-EXP(-D21*'Cash Flows'!$B$13))*EXP(-'Inputs'!$B$18*'Cash Flows'!$B$13)),IF('Cash Flows'!$B$14="",0,(EXP(-D21*'Cash Flows'!$C$14)-EXP(-D21*'Cash Flows'!$B$14))*EXP(-'Inputs'!$B$18*'Cash Flows'!$B$14)),IF('Cash Flows'!$B$15="",0,(EXP(-D21*'Cash Flows'!$C$15)-EXP(-D21*'Cash Flows'!$B$15))*EXP(-'Inputs'!$B$18*'Cash Flows'!$B$15)),IF('Cash Flows'!$B$16="",0,(EXP(-D21*'Cash Flows'!$C$16)-EXP(-D21*'Cash Flows'!$B$16))*EXP(-'Inputs'!$B$18*'Cash Flows'!$B$16)),IF('Cash Flows'!$B$17="",0,(EXP(-D21*'Cash Flows'!$C$17)-EXP(-D21*'Cash Flows'!$B$17))*EXP(-'Inputs'!$B$18*'Cash Flows'!$B$17)),IF('Cash Flows'!$B$18="",0,(EXP(-D21*'Cash Flows'!$C$18)-EXP(-D21*'Cash Flows'!$B$18))*EXP(-'Inputs'!$B$18*'Cash Flows'!$B$18)),IF('Cash Flows'!$B$19="",0,(EXP(-D21*'Cash Flows'!$C$19)-EXP(-D21*'Cash Flows'!$B$19))*EXP(-'Inputs'!$B$18*'Cash Flows'!$B$19)),IF('Cash Flows'!$B$20="",0,(EXP(-D21*'Cash Flows'!$C$20)-EXP(-D21*'Cash Flows'!$B$20))*EXP(-'Inputs'!$B$18*'Cash Flows'!$B$20)),IF('Cash Flows'!$B$21="",0,(EXP(-D21*'Cash Flows'!$C$21)-EXP(-D21*'Cash Flows'!$B$21))*EXP(-'Inputs'!$B$18*'Cash Flows'!$B$21)),IF('Cash Flows'!$B$22="",0,(EXP(-D21*'Cash Flows'!$C$22)-EXP(-D21*'Cash Flows'!$B$22))*EXP(-'Inputs'!$B$18*'Cash Flows'!$B$22)),IF('Cash Flows'!$B$23="",0,(EXP(-D21*'Cash Flows'!$C$23)-EXP(-D21*'Cash Flows'!$B$23))*EXP(-'Inputs'!$B$18*'Cash Flows'!$B$23)),IF('Cash Flows'!$B$24="",0,(EXP(-D21*'Cash Flows'!$C$24)-EXP(-D21*'Cash Flows'!$B$24))*EXP(-'Inputs'!$B$18*'Cash Flows'!$B$24)),IF('Cash Flows'!$B$25="",0,(EXP(-D21*'Cash Flows'!$C$25)-EXP(-D21*'Cash Flows'!$B$25))*EXP(-'Inputs'!$B$18*'Cash Flows'!$B$25)),IF('Cash Flows'!$B$26="",0,(EXP(-D21*'Cash Flows'!$C$26)-EXP(-D21*'Cash Flows'!$B$26))*EXP(-'Inputs'!$B$18*'Cash Flows'!$B$26)),IF('Cash Flows'!$B$27="",0,(EXP(-D21*'Cash Flows'!$C$27)-EXP(-D21*'Cash Flows'!$B$27))*EXP(-'Inputs'!$B$18*'Cash Flows'!$B$27)),IF('Cash Flows'!$B$28="",0,(EXP(-D21*'Cash Flows'!$C$28)-EXP(-D21*'Cash Flows'!$B$28))*EXP(-'Inputs'!$B$18*'Cash Flows'!$B$28)),IF('Cash Flows'!$B$29="",0,(EXP(-D21*'Cash Flows'!$C$29)-EXP(-D21*'Cash Flows'!$B$29))*EXP(-'Inputs'!$B$18*'Cash Flows'!$B$29)),IF('Cash Flows'!$B$30="",0,(EXP(-D21*'Cash Flows'!$C$30)-EXP(-D21*'Cash Flows'!$B$30))*EXP(-'Inputs'!$B$18*'Cash Flows'!$B$30)),IF('Cash Flows'!$B$31="",0,(EXP(-D21*'Cash Flows'!$C$31)-EXP(-D21*'Cash Flows'!$B$31))*EXP(-'Inputs'!$B$18*'Cash Flows'!$B$31)),IF('Cash Flows'!$B$32="",0,(EXP(-D21*'Cash Flows'!$C$32)-EXP(-D21*'Cash Flows'!$B$32))*EXP(-'Inputs'!$B$18*'Cash Flows'!$B$32)),IF('Cash Flows'!$B$33="",0,(EXP(-D21*'Cash Flows'!$C$33)-EXP(-D21*'Cash Flows'!$B$33))*EXP(-'Inputs'!$B$18*'Cash Flows'!$B$33)),IF('Cash Flows'!$B$34="",0,(EXP(-D21*'Cash Flows'!$C$34)-EXP(-D21*'Cash Flows'!$B$34))*EXP(-'Inputs'!$B$18*'Cash Flows'!$B$34)),IF('Cash Flows'!$B$35="",0,(EXP(-D21*'Cash Flows'!$C$35)-EXP(-D21*'Cash Flows'!$B$35))*EXP(-'Inputs'!$B$18*'Cash Flows'!$B$35)),IF('Cash Flows'!$B$36="",0,(EXP(-D21*'Cash Flows'!$C$36)-EXP(-D21*'Cash Flows'!$B$36))*EXP(-'Inputs'!$B$18*'Cash Flows'!$B$36)),IF('Cash Flows'!$B$37="",0,(EXP(-D21*'Cash Flows'!$C$37)-EXP(-D21*'Cash Flows'!$B$37))*EXP(-'Inputs'!$B$18*'Cash Flows'!$B$37)),IF('Cash Flows'!$B$38="",0,(EXP(-D21*'Cash Flows'!$C$38)-EXP(-D21*'Cash Flows'!$B$38))*EXP(-'Inputs'!$B$18*'Cash Flows'!$B$38)),IF('Cash Flows'!$B$39="",0,(EXP(-D21*'Cash Flows'!$C$39)-EXP(-D21*'Cash Flows'!$B$39))*EXP(-'Inputs'!$B$18*'Cash Flows'!$B$39)),IF('Cash Flows'!$B$40="",0,(EXP(-D21*'Cash Flows'!$C$40)-EXP(-D21*'Cash Flows'!$B$40))*EXP(-'Inputs'!$B$18*'Cash Flows'!$B$40)),IF('Cash Flows'!$B$41="",0,(EXP(-D21*'Cash Flows'!$C$41)-EXP(-D21*'Cash Flows'!$B$41))*EXP(-'Inputs'!$B$18*'Cash Flows'!$B$41)),IF('Cash Flows'!$B$42="",0,(EXP(-D21*'Cash Flows'!$C$42)-EXP(-D21*'Cash Flows'!$B$42))*EXP(-'Inputs'!$B$18*'Cash Flows'!$B$42)),IF('Cash Flows'!$B$43="",0,(EXP(-D21*'Cash Flows'!$C$43)-EXP(-D21*'Cash Flows'!$B$43))*EXP(-'Inputs'!$B$18*'Cash Flows'!$B$43)),IF('Cash Flows'!$B$44="",0,(EXP(-D21*'Cash Flows'!$C$44)-EXP(-D21*'Cash Flows'!$B$44))*EXP(-'Inputs'!$B$18*'Cash Flows'!$B$44)),IF('Cash Flows'!$B$45="",0,(EXP(-D21*'Cash Flows'!$C$45)-EXP(-D21*'Cash Flows'!$B$45))*EXP(-'Inputs'!$B$18*'Cash Flows'!$B$45)))</x:f>
        <x:v>0.08542717506085885</x:v>
      </x:c>
      <x:c r="J21" s="111"/>
      <x:c r="K21" s="111"/>
      <x:c r="L21" s="111"/>
      <x:c r="M21" s="111"/>
      <x:c r="N21" s="111"/>
      <x:c r="O21" s="111"/>
    </x:row>
    <x:row r="22">
      <x:c r="A22" s="129" t="str">
        <x:v>S200 / R50</x:v>
      </x:c>
      <x:c r="B22" s="136" t="n">
        <x:v>0.02</x:v>
      </x:c>
      <x:c r="C22" s="136" t="n">
        <x:v>0.5</x:v>
      </x:c>
      <x:c r="D22" s="136" t="n">
        <x:f>IF(C22&lt;1,B22/(1-C22),0)</x:f>
        <x:v>0.04</x:v>
      </x:c>
      <x:c r="E22" s="136" t="n">
        <x:f>1-EXP(-D22*'Inputs'!$B$10)</x:f>
        <x:v>0.18126924692201818</x:v>
      </x:c>
      <x:c r="F22" s="136" t="n">
        <x:f>'Inputs'!$B$35/'Inputs'!$B$9*H22+MAX(0,C22-IF('Inputs'!$B$6="REPACK",'Inputs'!$B$21,0))*I22+EXP(-D22*'Inputs'!$B$10)*EXP(-'Inputs'!$B$18*'Inputs'!$B$10)</x:f>
        <x:v>1.0374826019942738</x:v>
      </x:c>
      <x:c r="G22" s="136" t="n">
        <x:f>IF(H22&gt;0,IF('Inputs'!$B$6="CLN",('Inputs'!$B$11-MAX(0,C22-IF('Inputs'!$B$6="REPACK",'Inputs'!$B$21,0))*I22-EXP(-D22*'Inputs'!$B$10)*EXP(-'Inputs'!$B$18*'Inputs'!$B$10))/(H22/'Inputs'!$B$9),('Inputs'!$B$11-'Inputs'!$B$29+'Inputs'!$B$28/'Inputs'!$B$9*H22+C22*I22+EXP(-D22*'Inputs'!$B$10)*EXP(-'Inputs'!$B$18*'Inputs'!$B$10)-MAX(0,C22-IF('Inputs'!$B$6="REPACK",'Inputs'!$B$21,0))*I22-EXP(-D22*'Inputs'!$B$10)*EXP(-'Inputs'!$B$18*'Inputs'!$B$10)-('Inputs'!$B$30+'Inputs'!$B$31)/'Inputs'!$B$9*H22)/(H22/'Inputs'!$B$9)),"")</x:f>
        <x:v>0.06325632648712527</x:v>
      </x:c>
      <x:c r="H22" s="157" t="n">
        <x:f>SUM(IF('Cash Flows'!$B$6="",0,EXP(-D22*'Cash Flows'!$B$6)*EXP(-'Inputs'!$B$18*'Cash Flows'!$B$6)),IF('Cash Flows'!$B$7="",0,EXP(-D22*'Cash Flows'!$B$7)*EXP(-'Inputs'!$B$18*'Cash Flows'!$B$7)),IF('Cash Flows'!$B$8="",0,EXP(-D22*'Cash Flows'!$B$8)*EXP(-'Inputs'!$B$18*'Cash Flows'!$B$8)),IF('Cash Flows'!$B$9="",0,EXP(-D22*'Cash Flows'!$B$9)*EXP(-'Inputs'!$B$18*'Cash Flows'!$B$9)),IF('Cash Flows'!$B$10="",0,EXP(-D22*'Cash Flows'!$B$10)*EXP(-'Inputs'!$B$18*'Cash Flows'!$B$10)),IF('Cash Flows'!$B$11="",0,EXP(-D22*'Cash Flows'!$B$11)*EXP(-'Inputs'!$B$18*'Cash Flows'!$B$11)),IF('Cash Flows'!$B$12="",0,EXP(-D22*'Cash Flows'!$B$12)*EXP(-'Inputs'!$B$18*'Cash Flows'!$B$12)),IF('Cash Flows'!$B$13="",0,EXP(-D22*'Cash Flows'!$B$13)*EXP(-'Inputs'!$B$18*'Cash Flows'!$B$13)),IF('Cash Flows'!$B$14="",0,EXP(-D22*'Cash Flows'!$B$14)*EXP(-'Inputs'!$B$18*'Cash Flows'!$B$14)),IF('Cash Flows'!$B$15="",0,EXP(-D22*'Cash Flows'!$B$15)*EXP(-'Inputs'!$B$18*'Cash Flows'!$B$15)),IF('Cash Flows'!$B$16="",0,EXP(-D22*'Cash Flows'!$B$16)*EXP(-'Inputs'!$B$18*'Cash Flows'!$B$16)),IF('Cash Flows'!$B$17="",0,EXP(-D22*'Cash Flows'!$B$17)*EXP(-'Inputs'!$B$18*'Cash Flows'!$B$17)),IF('Cash Flows'!$B$18="",0,EXP(-D22*'Cash Flows'!$B$18)*EXP(-'Inputs'!$B$18*'Cash Flows'!$B$18)),IF('Cash Flows'!$B$19="",0,EXP(-D22*'Cash Flows'!$B$19)*EXP(-'Inputs'!$B$18*'Cash Flows'!$B$19)),IF('Cash Flows'!$B$20="",0,EXP(-D22*'Cash Flows'!$B$20)*EXP(-'Inputs'!$B$18*'Cash Flows'!$B$20)),IF('Cash Flows'!$B$21="",0,EXP(-D22*'Cash Flows'!$B$21)*EXP(-'Inputs'!$B$18*'Cash Flows'!$B$21)),IF('Cash Flows'!$B$22="",0,EXP(-D22*'Cash Flows'!$B$22)*EXP(-'Inputs'!$B$18*'Cash Flows'!$B$22)),IF('Cash Flows'!$B$23="",0,EXP(-D22*'Cash Flows'!$B$23)*EXP(-'Inputs'!$B$18*'Cash Flows'!$B$23)),IF('Cash Flows'!$B$24="",0,EXP(-D22*'Cash Flows'!$B$24)*EXP(-'Inputs'!$B$18*'Cash Flows'!$B$24)),IF('Cash Flows'!$B$25="",0,EXP(-D22*'Cash Flows'!$B$25)*EXP(-'Inputs'!$B$18*'Cash Flows'!$B$25)),IF('Cash Flows'!$B$26="",0,EXP(-D22*'Cash Flows'!$B$26)*EXP(-'Inputs'!$B$18*'Cash Flows'!$B$26)),IF('Cash Flows'!$B$27="",0,EXP(-D22*'Cash Flows'!$B$27)*EXP(-'Inputs'!$B$18*'Cash Flows'!$B$27)),IF('Cash Flows'!$B$28="",0,EXP(-D22*'Cash Flows'!$B$28)*EXP(-'Inputs'!$B$18*'Cash Flows'!$B$28)),IF('Cash Flows'!$B$29="",0,EXP(-D22*'Cash Flows'!$B$29)*EXP(-'Inputs'!$B$18*'Cash Flows'!$B$29)),IF('Cash Flows'!$B$30="",0,EXP(-D22*'Cash Flows'!$B$30)*EXP(-'Inputs'!$B$18*'Cash Flows'!$B$30)),IF('Cash Flows'!$B$31="",0,EXP(-D22*'Cash Flows'!$B$31)*EXP(-'Inputs'!$B$18*'Cash Flows'!$B$31)),IF('Cash Flows'!$B$32="",0,EXP(-D22*'Cash Flows'!$B$32)*EXP(-'Inputs'!$B$18*'Cash Flows'!$B$32)),IF('Cash Flows'!$B$33="",0,EXP(-D22*'Cash Flows'!$B$33)*EXP(-'Inputs'!$B$18*'Cash Flows'!$B$33)),IF('Cash Flows'!$B$34="",0,EXP(-D22*'Cash Flows'!$B$34)*EXP(-'Inputs'!$B$18*'Cash Flows'!$B$34)),IF('Cash Flows'!$B$35="",0,EXP(-D22*'Cash Flows'!$B$35)*EXP(-'Inputs'!$B$18*'Cash Flows'!$B$35)),IF('Cash Flows'!$B$36="",0,EXP(-D22*'Cash Flows'!$B$36)*EXP(-'Inputs'!$B$18*'Cash Flows'!$B$36)),IF('Cash Flows'!$B$37="",0,EXP(-D22*'Cash Flows'!$B$37)*EXP(-'Inputs'!$B$18*'Cash Flows'!$B$37)),IF('Cash Flows'!$B$38="",0,EXP(-D22*'Cash Flows'!$B$38)*EXP(-'Inputs'!$B$18*'Cash Flows'!$B$38)),IF('Cash Flows'!$B$39="",0,EXP(-D22*'Cash Flows'!$B$39)*EXP(-'Inputs'!$B$18*'Cash Flows'!$B$39)),IF('Cash Flows'!$B$40="",0,EXP(-D22*'Cash Flows'!$B$40)*EXP(-'Inputs'!$B$18*'Cash Flows'!$B$40)),IF('Cash Flows'!$B$41="",0,EXP(-D22*'Cash Flows'!$B$41)*EXP(-'Inputs'!$B$18*'Cash Flows'!$B$41)),IF('Cash Flows'!$B$42="",0,EXP(-D22*'Cash Flows'!$B$42)*EXP(-'Inputs'!$B$18*'Cash Flows'!$B$42)),IF('Cash Flows'!$B$43="",0,EXP(-D22*'Cash Flows'!$B$43)*EXP(-'Inputs'!$B$18*'Cash Flows'!$B$43)),IF('Cash Flows'!$B$44="",0,EXP(-D22*'Cash Flows'!$B$44)*EXP(-'Inputs'!$B$18*'Cash Flows'!$B$44)),IF('Cash Flows'!$B$45="",0,EXP(-D22*'Cash Flows'!$B$45)*EXP(-'Inputs'!$B$18*'Cash Flows'!$B$45)))</x:f>
        <x:v>16.219786188712707</x:v>
      </x:c>
      <x:c r="I22" s="158" t="n">
        <x:f>SUM(IF('Cash Flows'!$B$6="",0,(EXP(-D22*'Cash Flows'!$C$6)-EXP(-D22*'Cash Flows'!$B$6))*EXP(-'Inputs'!$B$18*'Cash Flows'!$B$6)),IF('Cash Flows'!$B$7="",0,(EXP(-D22*'Cash Flows'!$C$7)-EXP(-D22*'Cash Flows'!$B$7))*EXP(-'Inputs'!$B$18*'Cash Flows'!$B$7)),IF('Cash Flows'!$B$8="",0,(EXP(-D22*'Cash Flows'!$C$8)-EXP(-D22*'Cash Flows'!$B$8))*EXP(-'Inputs'!$B$18*'Cash Flows'!$B$8)),IF('Cash Flows'!$B$9="",0,(EXP(-D22*'Cash Flows'!$C$9)-EXP(-D22*'Cash Flows'!$B$9))*EXP(-'Inputs'!$B$18*'Cash Flows'!$B$9)),IF('Cash Flows'!$B$10="",0,(EXP(-D22*'Cash Flows'!$C$10)-EXP(-D22*'Cash Flows'!$B$10))*EXP(-'Inputs'!$B$18*'Cash Flows'!$B$10)),IF('Cash Flows'!$B$11="",0,(EXP(-D22*'Cash Flows'!$C$11)-EXP(-D22*'Cash Flows'!$B$11))*EXP(-'Inputs'!$B$18*'Cash Flows'!$B$11)),IF('Cash Flows'!$B$12="",0,(EXP(-D22*'Cash Flows'!$C$12)-EXP(-D22*'Cash Flows'!$B$12))*EXP(-'Inputs'!$B$18*'Cash Flows'!$B$12)),IF('Cash Flows'!$B$13="",0,(EXP(-D22*'Cash Flows'!$C$13)-EXP(-D22*'Cash Flows'!$B$13))*EXP(-'Inputs'!$B$18*'Cash Flows'!$B$13)),IF('Cash Flows'!$B$14="",0,(EXP(-D22*'Cash Flows'!$C$14)-EXP(-D22*'Cash Flows'!$B$14))*EXP(-'Inputs'!$B$18*'Cash Flows'!$B$14)),IF('Cash Flows'!$B$15="",0,(EXP(-D22*'Cash Flows'!$C$15)-EXP(-D22*'Cash Flows'!$B$15))*EXP(-'Inputs'!$B$18*'Cash Flows'!$B$15)),IF('Cash Flows'!$B$16="",0,(EXP(-D22*'Cash Flows'!$C$16)-EXP(-D22*'Cash Flows'!$B$16))*EXP(-'Inputs'!$B$18*'Cash Flows'!$B$16)),IF('Cash Flows'!$B$17="",0,(EXP(-D22*'Cash Flows'!$C$17)-EXP(-D22*'Cash Flows'!$B$17))*EXP(-'Inputs'!$B$18*'Cash Flows'!$B$17)),IF('Cash Flows'!$B$18="",0,(EXP(-D22*'Cash Flows'!$C$18)-EXP(-D22*'Cash Flows'!$B$18))*EXP(-'Inputs'!$B$18*'Cash Flows'!$B$18)),IF('Cash Flows'!$B$19="",0,(EXP(-D22*'Cash Flows'!$C$19)-EXP(-D22*'Cash Flows'!$B$19))*EXP(-'Inputs'!$B$18*'Cash Flows'!$B$19)),IF('Cash Flows'!$B$20="",0,(EXP(-D22*'Cash Flows'!$C$20)-EXP(-D22*'Cash Flows'!$B$20))*EXP(-'Inputs'!$B$18*'Cash Flows'!$B$20)),IF('Cash Flows'!$B$21="",0,(EXP(-D22*'Cash Flows'!$C$21)-EXP(-D22*'Cash Flows'!$B$21))*EXP(-'Inputs'!$B$18*'Cash Flows'!$B$21)),IF('Cash Flows'!$B$22="",0,(EXP(-D22*'Cash Flows'!$C$22)-EXP(-D22*'Cash Flows'!$B$22))*EXP(-'Inputs'!$B$18*'Cash Flows'!$B$22)),IF('Cash Flows'!$B$23="",0,(EXP(-D22*'Cash Flows'!$C$23)-EXP(-D22*'Cash Flows'!$B$23))*EXP(-'Inputs'!$B$18*'Cash Flows'!$B$23)),IF('Cash Flows'!$B$24="",0,(EXP(-D22*'Cash Flows'!$C$24)-EXP(-D22*'Cash Flows'!$B$24))*EXP(-'Inputs'!$B$18*'Cash Flows'!$B$24)),IF('Cash Flows'!$B$25="",0,(EXP(-D22*'Cash Flows'!$C$25)-EXP(-D22*'Cash Flows'!$B$25))*EXP(-'Inputs'!$B$18*'Cash Flows'!$B$25)),IF('Cash Flows'!$B$26="",0,(EXP(-D22*'Cash Flows'!$C$26)-EXP(-D22*'Cash Flows'!$B$26))*EXP(-'Inputs'!$B$18*'Cash Flows'!$B$26)),IF('Cash Flows'!$B$27="",0,(EXP(-D22*'Cash Flows'!$C$27)-EXP(-D22*'Cash Flows'!$B$27))*EXP(-'Inputs'!$B$18*'Cash Flows'!$B$27)),IF('Cash Flows'!$B$28="",0,(EXP(-D22*'Cash Flows'!$C$28)-EXP(-D22*'Cash Flows'!$B$28))*EXP(-'Inputs'!$B$18*'Cash Flows'!$B$28)),IF('Cash Flows'!$B$29="",0,(EXP(-D22*'Cash Flows'!$C$29)-EXP(-D22*'Cash Flows'!$B$29))*EXP(-'Inputs'!$B$18*'Cash Flows'!$B$29)),IF('Cash Flows'!$B$30="",0,(EXP(-D22*'Cash Flows'!$C$30)-EXP(-D22*'Cash Flows'!$B$30))*EXP(-'Inputs'!$B$18*'Cash Flows'!$B$30)),IF('Cash Flows'!$B$31="",0,(EXP(-D22*'Cash Flows'!$C$31)-EXP(-D22*'Cash Flows'!$B$31))*EXP(-'Inputs'!$B$18*'Cash Flows'!$B$31)),IF('Cash Flows'!$B$32="",0,(EXP(-D22*'Cash Flows'!$C$32)-EXP(-D22*'Cash Flows'!$B$32))*EXP(-'Inputs'!$B$18*'Cash Flows'!$B$32)),IF('Cash Flows'!$B$33="",0,(EXP(-D22*'Cash Flows'!$C$33)-EXP(-D22*'Cash Flows'!$B$33))*EXP(-'Inputs'!$B$18*'Cash Flows'!$B$33)),IF('Cash Flows'!$B$34="",0,(EXP(-D22*'Cash Flows'!$C$34)-EXP(-D22*'Cash Flows'!$B$34))*EXP(-'Inputs'!$B$18*'Cash Flows'!$B$34)),IF('Cash Flows'!$B$35="",0,(EXP(-D22*'Cash Flows'!$C$35)-EXP(-D22*'Cash Flows'!$B$35))*EXP(-'Inputs'!$B$18*'Cash Flows'!$B$35)),IF('Cash Flows'!$B$36="",0,(EXP(-D22*'Cash Flows'!$C$36)-EXP(-D22*'Cash Flows'!$B$36))*EXP(-'Inputs'!$B$18*'Cash Flows'!$B$36)),IF('Cash Flows'!$B$37="",0,(EXP(-D22*'Cash Flows'!$C$37)-EXP(-D22*'Cash Flows'!$B$37))*EXP(-'Inputs'!$B$18*'Cash Flows'!$B$37)),IF('Cash Flows'!$B$38="",0,(EXP(-D22*'Cash Flows'!$C$38)-EXP(-D22*'Cash Flows'!$B$38))*EXP(-'Inputs'!$B$18*'Cash Flows'!$B$38)),IF('Cash Flows'!$B$39="",0,(EXP(-D22*'Cash Flows'!$C$39)-EXP(-D22*'Cash Flows'!$B$39))*EXP(-'Inputs'!$B$18*'Cash Flows'!$B$39)),IF('Cash Flows'!$B$40="",0,(EXP(-D22*'Cash Flows'!$C$40)-EXP(-D22*'Cash Flows'!$B$40))*EXP(-'Inputs'!$B$18*'Cash Flows'!$B$40)),IF('Cash Flows'!$B$41="",0,(EXP(-D22*'Cash Flows'!$C$41)-EXP(-D22*'Cash Flows'!$B$41))*EXP(-'Inputs'!$B$18*'Cash Flows'!$B$41)),IF('Cash Flows'!$B$42="",0,(EXP(-D22*'Cash Flows'!$C$42)-EXP(-D22*'Cash Flows'!$B$42))*EXP(-'Inputs'!$B$18*'Cash Flows'!$B$42)),IF('Cash Flows'!$B$43="",0,(EXP(-D22*'Cash Flows'!$C$43)-EXP(-D22*'Cash Flows'!$B$43))*EXP(-'Inputs'!$B$18*'Cash Flows'!$B$43)),IF('Cash Flows'!$B$44="",0,(EXP(-D22*'Cash Flows'!$C$44)-EXP(-D22*'Cash Flows'!$B$44))*EXP(-'Inputs'!$B$18*'Cash Flows'!$B$44)),IF('Cash Flows'!$B$45="",0,(EXP(-D22*'Cash Flows'!$C$45)-EXP(-D22*'Cash Flows'!$B$45))*EXP(-'Inputs'!$B$18*'Cash Flows'!$B$45)))</x:f>
        <x:v>0.1630115612660441</x:v>
      </x:c>
      <x:c r="J22" s="111"/>
      <x:c r="K22" s="111"/>
      <x:c r="L22" s="111"/>
      <x:c r="M22" s="111"/>
      <x:c r="N22" s="111"/>
      <x:c r="O22" s="111"/>
    </x:row>
    <x:row r="23">
      <x:c r="A23" s="129" t="str">
        <x:v>S300 / R50</x:v>
      </x:c>
      <x:c r="B23" s="136" t="n">
        <x:v>0.03</x:v>
      </x:c>
      <x:c r="C23" s="136" t="n">
        <x:v>0.5</x:v>
      </x:c>
      <x:c r="D23" s="136" t="n">
        <x:f>IF(C23&lt;1,B23/(1-C23),0)</x:f>
        <x:v>0.06</x:v>
      </x:c>
      <x:c r="E23" s="136" t="n">
        <x:f>1-EXP(-D23*'Inputs'!$B$10)</x:f>
        <x:v>0.2591817793182821</x:v>
      </x:c>
      <x:c r="F23" s="136" t="n">
        <x:f>'Inputs'!$B$35/'Inputs'!$B$9*H23+MAX(0,C23-IF('Inputs'!$B$6="REPACK",'Inputs'!$B$21,0))*I23+EXP(-D23*'Inputs'!$B$10)*EXP(-'Inputs'!$B$18*'Inputs'!$B$10)</x:f>
        <x:v>0.9957574653113175</x:v>
      </x:c>
      <x:c r="G23" s="136" t="n">
        <x:f>IF(H23&gt;0,IF('Inputs'!$B$6="CLN",('Inputs'!$B$11-MAX(0,C23-IF('Inputs'!$B$6="REPACK",'Inputs'!$B$21,0))*I23-EXP(-D23*'Inputs'!$B$10)*EXP(-'Inputs'!$B$18*'Inputs'!$B$10))/(H23/'Inputs'!$B$9),('Inputs'!$B$11-'Inputs'!$B$29+'Inputs'!$B$28/'Inputs'!$B$9*H23+C23*I23+EXP(-D23*'Inputs'!$B$10)*EXP(-'Inputs'!$B$18*'Inputs'!$B$10)-MAX(0,C23-IF('Inputs'!$B$6="REPACK",'Inputs'!$B$21,0))*I23-EXP(-D23*'Inputs'!$B$10)*EXP(-'Inputs'!$B$18*'Inputs'!$B$10)-('Inputs'!$B$30+'Inputs'!$B$31)/'Inputs'!$B$9*H23)/(H23/'Inputs'!$B$9)),"")</x:f>
        <x:v>0.07359844186193318</x:v>
      </x:c>
      <x:c r="H23" s="157" t="n">
        <x:f>SUM(IF('Cash Flows'!$B$6="",0,EXP(-D23*'Cash Flows'!$B$6)*EXP(-'Inputs'!$B$18*'Cash Flows'!$B$6)),IF('Cash Flows'!$B$7="",0,EXP(-D23*'Cash Flows'!$B$7)*EXP(-'Inputs'!$B$18*'Cash Flows'!$B$7)),IF('Cash Flows'!$B$8="",0,EXP(-D23*'Cash Flows'!$B$8)*EXP(-'Inputs'!$B$18*'Cash Flows'!$B$8)),IF('Cash Flows'!$B$9="",0,EXP(-D23*'Cash Flows'!$B$9)*EXP(-'Inputs'!$B$18*'Cash Flows'!$B$9)),IF('Cash Flows'!$B$10="",0,EXP(-D23*'Cash Flows'!$B$10)*EXP(-'Inputs'!$B$18*'Cash Flows'!$B$10)),IF('Cash Flows'!$B$11="",0,EXP(-D23*'Cash Flows'!$B$11)*EXP(-'Inputs'!$B$18*'Cash Flows'!$B$11)),IF('Cash Flows'!$B$12="",0,EXP(-D23*'Cash Flows'!$B$12)*EXP(-'Inputs'!$B$18*'Cash Flows'!$B$12)),IF('Cash Flows'!$B$13="",0,EXP(-D23*'Cash Flows'!$B$13)*EXP(-'Inputs'!$B$18*'Cash Flows'!$B$13)),IF('Cash Flows'!$B$14="",0,EXP(-D23*'Cash Flows'!$B$14)*EXP(-'Inputs'!$B$18*'Cash Flows'!$B$14)),IF('Cash Flows'!$B$15="",0,EXP(-D23*'Cash Flows'!$B$15)*EXP(-'Inputs'!$B$18*'Cash Flows'!$B$15)),IF('Cash Flows'!$B$16="",0,EXP(-D23*'Cash Flows'!$B$16)*EXP(-'Inputs'!$B$18*'Cash Flows'!$B$16)),IF('Cash Flows'!$B$17="",0,EXP(-D23*'Cash Flows'!$B$17)*EXP(-'Inputs'!$B$18*'Cash Flows'!$B$17)),IF('Cash Flows'!$B$18="",0,EXP(-D23*'Cash Flows'!$B$18)*EXP(-'Inputs'!$B$18*'Cash Flows'!$B$18)),IF('Cash Flows'!$B$19="",0,EXP(-D23*'Cash Flows'!$B$19)*EXP(-'Inputs'!$B$18*'Cash Flows'!$B$19)),IF('Cash Flows'!$B$20="",0,EXP(-D23*'Cash Flows'!$B$20)*EXP(-'Inputs'!$B$18*'Cash Flows'!$B$20)),IF('Cash Flows'!$B$21="",0,EXP(-D23*'Cash Flows'!$B$21)*EXP(-'Inputs'!$B$18*'Cash Flows'!$B$21)),IF('Cash Flows'!$B$22="",0,EXP(-D23*'Cash Flows'!$B$22)*EXP(-'Inputs'!$B$18*'Cash Flows'!$B$22)),IF('Cash Flows'!$B$23="",0,EXP(-D23*'Cash Flows'!$B$23)*EXP(-'Inputs'!$B$18*'Cash Flows'!$B$23)),IF('Cash Flows'!$B$24="",0,EXP(-D23*'Cash Flows'!$B$24)*EXP(-'Inputs'!$B$18*'Cash Flows'!$B$24)),IF('Cash Flows'!$B$25="",0,EXP(-D23*'Cash Flows'!$B$25)*EXP(-'Inputs'!$B$18*'Cash Flows'!$B$25)),IF('Cash Flows'!$B$26="",0,EXP(-D23*'Cash Flows'!$B$26)*EXP(-'Inputs'!$B$18*'Cash Flows'!$B$26)),IF('Cash Flows'!$B$27="",0,EXP(-D23*'Cash Flows'!$B$27)*EXP(-'Inputs'!$B$18*'Cash Flows'!$B$27)),IF('Cash Flows'!$B$28="",0,EXP(-D23*'Cash Flows'!$B$28)*EXP(-'Inputs'!$B$18*'Cash Flows'!$B$28)),IF('Cash Flows'!$B$29="",0,EXP(-D23*'Cash Flows'!$B$29)*EXP(-'Inputs'!$B$18*'Cash Flows'!$B$29)),IF('Cash Flows'!$B$30="",0,EXP(-D23*'Cash Flows'!$B$30)*EXP(-'Inputs'!$B$18*'Cash Flows'!$B$30)),IF('Cash Flows'!$B$31="",0,EXP(-D23*'Cash Flows'!$B$31)*EXP(-'Inputs'!$B$18*'Cash Flows'!$B$31)),IF('Cash Flows'!$B$32="",0,EXP(-D23*'Cash Flows'!$B$32)*EXP(-'Inputs'!$B$18*'Cash Flows'!$B$32)),IF('Cash Flows'!$B$33="",0,EXP(-D23*'Cash Flows'!$B$33)*EXP(-'Inputs'!$B$18*'Cash Flows'!$B$33)),IF('Cash Flows'!$B$34="",0,EXP(-D23*'Cash Flows'!$B$34)*EXP(-'Inputs'!$B$18*'Cash Flows'!$B$34)),IF('Cash Flows'!$B$35="",0,EXP(-D23*'Cash Flows'!$B$35)*EXP(-'Inputs'!$B$18*'Cash Flows'!$B$35)),IF('Cash Flows'!$B$36="",0,EXP(-D23*'Cash Flows'!$B$36)*EXP(-'Inputs'!$B$18*'Cash Flows'!$B$36)),IF('Cash Flows'!$B$37="",0,EXP(-D23*'Cash Flows'!$B$37)*EXP(-'Inputs'!$B$18*'Cash Flows'!$B$37)),IF('Cash Flows'!$B$38="",0,EXP(-D23*'Cash Flows'!$B$38)*EXP(-'Inputs'!$B$18*'Cash Flows'!$B$38)),IF('Cash Flows'!$B$39="",0,EXP(-D23*'Cash Flows'!$B$39)*EXP(-'Inputs'!$B$18*'Cash Flows'!$B$39)),IF('Cash Flows'!$B$40="",0,EXP(-D23*'Cash Flows'!$B$40)*EXP(-'Inputs'!$B$18*'Cash Flows'!$B$40)),IF('Cash Flows'!$B$41="",0,EXP(-D23*'Cash Flows'!$B$41)*EXP(-'Inputs'!$B$18*'Cash Flows'!$B$41)),IF('Cash Flows'!$B$42="",0,EXP(-D23*'Cash Flows'!$B$42)*EXP(-'Inputs'!$B$18*'Cash Flows'!$B$42)),IF('Cash Flows'!$B$43="",0,EXP(-D23*'Cash Flows'!$B$43)*EXP(-'Inputs'!$B$18*'Cash Flows'!$B$43)),IF('Cash Flows'!$B$44="",0,EXP(-D23*'Cash Flows'!$B$44)*EXP(-'Inputs'!$B$18*'Cash Flows'!$B$44)),IF('Cash Flows'!$B$45="",0,EXP(-D23*'Cash Flows'!$B$45)*EXP(-'Inputs'!$B$18*'Cash Flows'!$B$45)))</x:f>
        <x:v>15.44928260915291</x:v>
      </x:c>
      <x:c r="I23" s="158" t="n">
        <x:f>SUM(IF('Cash Flows'!$B$6="",0,(EXP(-D23*'Cash Flows'!$C$6)-EXP(-D23*'Cash Flows'!$B$6))*EXP(-'Inputs'!$B$18*'Cash Flows'!$B$6)),IF('Cash Flows'!$B$7="",0,(EXP(-D23*'Cash Flows'!$C$7)-EXP(-D23*'Cash Flows'!$B$7))*EXP(-'Inputs'!$B$18*'Cash Flows'!$B$7)),IF('Cash Flows'!$B$8="",0,(EXP(-D23*'Cash Flows'!$C$8)-EXP(-D23*'Cash Flows'!$B$8))*EXP(-'Inputs'!$B$18*'Cash Flows'!$B$8)),IF('Cash Flows'!$B$9="",0,(EXP(-D23*'Cash Flows'!$C$9)-EXP(-D23*'Cash Flows'!$B$9))*EXP(-'Inputs'!$B$18*'Cash Flows'!$B$9)),IF('Cash Flows'!$B$10="",0,(EXP(-D23*'Cash Flows'!$C$10)-EXP(-D23*'Cash Flows'!$B$10))*EXP(-'Inputs'!$B$18*'Cash Flows'!$B$10)),IF('Cash Flows'!$B$11="",0,(EXP(-D23*'Cash Flows'!$C$11)-EXP(-D23*'Cash Flows'!$B$11))*EXP(-'Inputs'!$B$18*'Cash Flows'!$B$11)),IF('Cash Flows'!$B$12="",0,(EXP(-D23*'Cash Flows'!$C$12)-EXP(-D23*'Cash Flows'!$B$12))*EXP(-'Inputs'!$B$18*'Cash Flows'!$B$12)),IF('Cash Flows'!$B$13="",0,(EXP(-D23*'Cash Flows'!$C$13)-EXP(-D23*'Cash Flows'!$B$13))*EXP(-'Inputs'!$B$18*'Cash Flows'!$B$13)),IF('Cash Flows'!$B$14="",0,(EXP(-D23*'Cash Flows'!$C$14)-EXP(-D23*'Cash Flows'!$B$14))*EXP(-'Inputs'!$B$18*'Cash Flows'!$B$14)),IF('Cash Flows'!$B$15="",0,(EXP(-D23*'Cash Flows'!$C$15)-EXP(-D23*'Cash Flows'!$B$15))*EXP(-'Inputs'!$B$18*'Cash Flows'!$B$15)),IF('Cash Flows'!$B$16="",0,(EXP(-D23*'Cash Flows'!$C$16)-EXP(-D23*'Cash Flows'!$B$16))*EXP(-'Inputs'!$B$18*'Cash Flows'!$B$16)),IF('Cash Flows'!$B$17="",0,(EXP(-D23*'Cash Flows'!$C$17)-EXP(-D23*'Cash Flows'!$B$17))*EXP(-'Inputs'!$B$18*'Cash Flows'!$B$17)),IF('Cash Flows'!$B$18="",0,(EXP(-D23*'Cash Flows'!$C$18)-EXP(-D23*'Cash Flows'!$B$18))*EXP(-'Inputs'!$B$18*'Cash Flows'!$B$18)),IF('Cash Flows'!$B$19="",0,(EXP(-D23*'Cash Flows'!$C$19)-EXP(-D23*'Cash Flows'!$B$19))*EXP(-'Inputs'!$B$18*'Cash Flows'!$B$19)),IF('Cash Flows'!$B$20="",0,(EXP(-D23*'Cash Flows'!$C$20)-EXP(-D23*'Cash Flows'!$B$20))*EXP(-'Inputs'!$B$18*'Cash Flows'!$B$20)),IF('Cash Flows'!$B$21="",0,(EXP(-D23*'Cash Flows'!$C$21)-EXP(-D23*'Cash Flows'!$B$21))*EXP(-'Inputs'!$B$18*'Cash Flows'!$B$21)),IF('Cash Flows'!$B$22="",0,(EXP(-D23*'Cash Flows'!$C$22)-EXP(-D23*'Cash Flows'!$B$22))*EXP(-'Inputs'!$B$18*'Cash Flows'!$B$22)),IF('Cash Flows'!$B$23="",0,(EXP(-D23*'Cash Flows'!$C$23)-EXP(-D23*'Cash Flows'!$B$23))*EXP(-'Inputs'!$B$18*'Cash Flows'!$B$23)),IF('Cash Flows'!$B$24="",0,(EXP(-D23*'Cash Flows'!$C$24)-EXP(-D23*'Cash Flows'!$B$24))*EXP(-'Inputs'!$B$18*'Cash Flows'!$B$24)),IF('Cash Flows'!$B$25="",0,(EXP(-D23*'Cash Flows'!$C$25)-EXP(-D23*'Cash Flows'!$B$25))*EXP(-'Inputs'!$B$18*'Cash Flows'!$B$25)),IF('Cash Flows'!$B$26="",0,(EXP(-D23*'Cash Flows'!$C$26)-EXP(-D23*'Cash Flows'!$B$26))*EXP(-'Inputs'!$B$18*'Cash Flows'!$B$26)),IF('Cash Flows'!$B$27="",0,(EXP(-D23*'Cash Flows'!$C$27)-EXP(-D23*'Cash Flows'!$B$27))*EXP(-'Inputs'!$B$18*'Cash Flows'!$B$27)),IF('Cash Flows'!$B$28="",0,(EXP(-D23*'Cash Flows'!$C$28)-EXP(-D23*'Cash Flows'!$B$28))*EXP(-'Inputs'!$B$18*'Cash Flows'!$B$28)),IF('Cash Flows'!$B$29="",0,(EXP(-D23*'Cash Flows'!$C$29)-EXP(-D23*'Cash Flows'!$B$29))*EXP(-'Inputs'!$B$18*'Cash Flows'!$B$29)),IF('Cash Flows'!$B$30="",0,(EXP(-D23*'Cash Flows'!$C$30)-EXP(-D23*'Cash Flows'!$B$30))*EXP(-'Inputs'!$B$18*'Cash Flows'!$B$30)),IF('Cash Flows'!$B$31="",0,(EXP(-D23*'Cash Flows'!$C$31)-EXP(-D23*'Cash Flows'!$B$31))*EXP(-'Inputs'!$B$18*'Cash Flows'!$B$31)),IF('Cash Flows'!$B$32="",0,(EXP(-D23*'Cash Flows'!$C$32)-EXP(-D23*'Cash Flows'!$B$32))*EXP(-'Inputs'!$B$18*'Cash Flows'!$B$32)),IF('Cash Flows'!$B$33="",0,(EXP(-D23*'Cash Flows'!$C$33)-EXP(-D23*'Cash Flows'!$B$33))*EXP(-'Inputs'!$B$18*'Cash Flows'!$B$33)),IF('Cash Flows'!$B$34="",0,(EXP(-D23*'Cash Flows'!$C$34)-EXP(-D23*'Cash Flows'!$B$34))*EXP(-'Inputs'!$B$18*'Cash Flows'!$B$34)),IF('Cash Flows'!$B$35="",0,(EXP(-D23*'Cash Flows'!$C$35)-EXP(-D23*'Cash Flows'!$B$35))*EXP(-'Inputs'!$B$18*'Cash Flows'!$B$35)),IF('Cash Flows'!$B$36="",0,(EXP(-D23*'Cash Flows'!$C$36)-EXP(-D23*'Cash Flows'!$B$36))*EXP(-'Inputs'!$B$18*'Cash Flows'!$B$36)),IF('Cash Flows'!$B$37="",0,(EXP(-D23*'Cash Flows'!$C$37)-EXP(-D23*'Cash Flows'!$B$37))*EXP(-'Inputs'!$B$18*'Cash Flows'!$B$37)),IF('Cash Flows'!$B$38="",0,(EXP(-D23*'Cash Flows'!$C$38)-EXP(-D23*'Cash Flows'!$B$38))*EXP(-'Inputs'!$B$18*'Cash Flows'!$B$38)),IF('Cash Flows'!$B$39="",0,(EXP(-D23*'Cash Flows'!$C$39)-EXP(-D23*'Cash Flows'!$B$39))*EXP(-'Inputs'!$B$18*'Cash Flows'!$B$39)),IF('Cash Flows'!$B$40="",0,(EXP(-D23*'Cash Flows'!$C$40)-EXP(-D23*'Cash Flows'!$B$40))*EXP(-'Inputs'!$B$18*'Cash Flows'!$B$40)),IF('Cash Flows'!$B$41="",0,(EXP(-D23*'Cash Flows'!$C$41)-EXP(-D23*'Cash Flows'!$B$41))*EXP(-'Inputs'!$B$18*'Cash Flows'!$B$41)),IF('Cash Flows'!$B$42="",0,(EXP(-D23*'Cash Flows'!$C$42)-EXP(-D23*'Cash Flows'!$B$42))*EXP(-'Inputs'!$B$18*'Cash Flows'!$B$42)),IF('Cash Flows'!$B$43="",0,(EXP(-D23*'Cash Flows'!$C$43)-EXP(-D23*'Cash Flows'!$B$43))*EXP(-'Inputs'!$B$18*'Cash Flows'!$B$43)),IF('Cash Flows'!$B$44="",0,(EXP(-D23*'Cash Flows'!$C$44)-EXP(-D23*'Cash Flows'!$B$44))*EXP(-'Inputs'!$B$18*'Cash Flows'!$B$44)),IF('Cash Flows'!$B$45="",0,(EXP(-D23*'Cash Flows'!$C$45)-EXP(-D23*'Cash Flows'!$B$45))*EXP(-'Inputs'!$B$18*'Cash Flows'!$B$45)))</x:f>
        <x:v>0.2334860063386314</x:v>
      </x:c>
      <x:c r="J23" s="111"/>
      <x:c r="K23" s="111"/>
      <x:c r="L23" s="111"/>
      <x:c r="M23" s="111"/>
      <x:c r="N23" s="111"/>
      <x:c r="O23" s="111"/>
    </x:row>
    <x:row r="24">
      <x:c r="A24" s="129" t="str">
        <x:v>S400 / R50</x:v>
      </x:c>
      <x:c r="B24" s="136" t="n">
        <x:v>0.04</x:v>
      </x:c>
      <x:c r="C24" s="136" t="n">
        <x:v>0.5</x:v>
      </x:c>
      <x:c r="D24" s="136" t="n">
        <x:f>IF(C24&lt;1,B24/(1-C24),0)</x:f>
        <x:v>0.08</x:v>
      </x:c>
      <x:c r="E24" s="136" t="n">
        <x:f>1-EXP(-D24*'Inputs'!$B$10)</x:f>
        <x:v>0.3296799539643607</x:v>
      </x:c>
      <x:c r="F24" s="136" t="n">
        <x:f>'Inputs'!$B$35/'Inputs'!$B$9*H24+MAX(0,C24-IF('Inputs'!$B$6="REPACK",'Inputs'!$B$21,0))*I24+EXP(-D24*'Inputs'!$B$10)*EXP(-'Inputs'!$B$18*'Inputs'!$B$10)</x:f>
        <x:v>0.9576865510571327</x:v>
      </x:c>
      <x:c r="G24" s="136" t="n">
        <x:f>IF(H24&gt;0,IF('Inputs'!$B$6="CLN",('Inputs'!$B$11-MAX(0,C24-IF('Inputs'!$B$6="REPACK",'Inputs'!$B$21,0))*I24-EXP(-D24*'Inputs'!$B$10)*EXP(-'Inputs'!$B$18*'Inputs'!$B$10))/(H24/'Inputs'!$B$9),('Inputs'!$B$11-'Inputs'!$B$29+'Inputs'!$B$28/'Inputs'!$B$9*H24+C24*I24+EXP(-D24*'Inputs'!$B$10)*EXP(-'Inputs'!$B$18*'Inputs'!$B$10)-MAX(0,C24-IF('Inputs'!$B$6="REPACK",'Inputs'!$B$21,0))*I24-EXP(-D24*'Inputs'!$B$10)*EXP(-'Inputs'!$B$18*'Inputs'!$B$10)-('Inputs'!$B$30+'Inputs'!$B$31)/'Inputs'!$B$9*H24)/(H24/'Inputs'!$B$9)),"")</x:f>
        <x:v>0.08399239730578767</x:v>
      </x:c>
      <x:c r="H24" s="157" t="n">
        <x:f>SUM(IF('Cash Flows'!$B$6="",0,EXP(-D24*'Cash Flows'!$B$6)*EXP(-'Inputs'!$B$18*'Cash Flows'!$B$6)),IF('Cash Flows'!$B$7="",0,EXP(-D24*'Cash Flows'!$B$7)*EXP(-'Inputs'!$B$18*'Cash Flows'!$B$7)),IF('Cash Flows'!$B$8="",0,EXP(-D24*'Cash Flows'!$B$8)*EXP(-'Inputs'!$B$18*'Cash Flows'!$B$8)),IF('Cash Flows'!$B$9="",0,EXP(-D24*'Cash Flows'!$B$9)*EXP(-'Inputs'!$B$18*'Cash Flows'!$B$9)),IF('Cash Flows'!$B$10="",0,EXP(-D24*'Cash Flows'!$B$10)*EXP(-'Inputs'!$B$18*'Cash Flows'!$B$10)),IF('Cash Flows'!$B$11="",0,EXP(-D24*'Cash Flows'!$B$11)*EXP(-'Inputs'!$B$18*'Cash Flows'!$B$11)),IF('Cash Flows'!$B$12="",0,EXP(-D24*'Cash Flows'!$B$12)*EXP(-'Inputs'!$B$18*'Cash Flows'!$B$12)),IF('Cash Flows'!$B$13="",0,EXP(-D24*'Cash Flows'!$B$13)*EXP(-'Inputs'!$B$18*'Cash Flows'!$B$13)),IF('Cash Flows'!$B$14="",0,EXP(-D24*'Cash Flows'!$B$14)*EXP(-'Inputs'!$B$18*'Cash Flows'!$B$14)),IF('Cash Flows'!$B$15="",0,EXP(-D24*'Cash Flows'!$B$15)*EXP(-'Inputs'!$B$18*'Cash Flows'!$B$15)),IF('Cash Flows'!$B$16="",0,EXP(-D24*'Cash Flows'!$B$16)*EXP(-'Inputs'!$B$18*'Cash Flows'!$B$16)),IF('Cash Flows'!$B$17="",0,EXP(-D24*'Cash Flows'!$B$17)*EXP(-'Inputs'!$B$18*'Cash Flows'!$B$17)),IF('Cash Flows'!$B$18="",0,EXP(-D24*'Cash Flows'!$B$18)*EXP(-'Inputs'!$B$18*'Cash Flows'!$B$18)),IF('Cash Flows'!$B$19="",0,EXP(-D24*'Cash Flows'!$B$19)*EXP(-'Inputs'!$B$18*'Cash Flows'!$B$19)),IF('Cash Flows'!$B$20="",0,EXP(-D24*'Cash Flows'!$B$20)*EXP(-'Inputs'!$B$18*'Cash Flows'!$B$20)),IF('Cash Flows'!$B$21="",0,EXP(-D24*'Cash Flows'!$B$21)*EXP(-'Inputs'!$B$18*'Cash Flows'!$B$21)),IF('Cash Flows'!$B$22="",0,EXP(-D24*'Cash Flows'!$B$22)*EXP(-'Inputs'!$B$18*'Cash Flows'!$B$22)),IF('Cash Flows'!$B$23="",0,EXP(-D24*'Cash Flows'!$B$23)*EXP(-'Inputs'!$B$18*'Cash Flows'!$B$23)),IF('Cash Flows'!$B$24="",0,EXP(-D24*'Cash Flows'!$B$24)*EXP(-'Inputs'!$B$18*'Cash Flows'!$B$24)),IF('Cash Flows'!$B$25="",0,EXP(-D24*'Cash Flows'!$B$25)*EXP(-'Inputs'!$B$18*'Cash Flows'!$B$25)),IF('Cash Flows'!$B$26="",0,EXP(-D24*'Cash Flows'!$B$26)*EXP(-'Inputs'!$B$18*'Cash Flows'!$B$26)),IF('Cash Flows'!$B$27="",0,EXP(-D24*'Cash Flows'!$B$27)*EXP(-'Inputs'!$B$18*'Cash Flows'!$B$27)),IF('Cash Flows'!$B$28="",0,EXP(-D24*'Cash Flows'!$B$28)*EXP(-'Inputs'!$B$18*'Cash Flows'!$B$28)),IF('Cash Flows'!$B$29="",0,EXP(-D24*'Cash Flows'!$B$29)*EXP(-'Inputs'!$B$18*'Cash Flows'!$B$29)),IF('Cash Flows'!$B$30="",0,EXP(-D24*'Cash Flows'!$B$30)*EXP(-'Inputs'!$B$18*'Cash Flows'!$B$30)),IF('Cash Flows'!$B$31="",0,EXP(-D24*'Cash Flows'!$B$31)*EXP(-'Inputs'!$B$18*'Cash Flows'!$B$31)),IF('Cash Flows'!$B$32="",0,EXP(-D24*'Cash Flows'!$B$32)*EXP(-'Inputs'!$B$18*'Cash Flows'!$B$32)),IF('Cash Flows'!$B$33="",0,EXP(-D24*'Cash Flows'!$B$33)*EXP(-'Inputs'!$B$18*'Cash Flows'!$B$33)),IF('Cash Flows'!$B$34="",0,EXP(-D24*'Cash Flows'!$B$34)*EXP(-'Inputs'!$B$18*'Cash Flows'!$B$34)),IF('Cash Flows'!$B$35="",0,EXP(-D24*'Cash Flows'!$B$35)*EXP(-'Inputs'!$B$18*'Cash Flows'!$B$35)),IF('Cash Flows'!$B$36="",0,EXP(-D24*'Cash Flows'!$B$36)*EXP(-'Inputs'!$B$18*'Cash Flows'!$B$36)),IF('Cash Flows'!$B$37="",0,EXP(-D24*'Cash Flows'!$B$37)*EXP(-'Inputs'!$B$18*'Cash Flows'!$B$37)),IF('Cash Flows'!$B$38="",0,EXP(-D24*'Cash Flows'!$B$38)*EXP(-'Inputs'!$B$18*'Cash Flows'!$B$38)),IF('Cash Flows'!$B$39="",0,EXP(-D24*'Cash Flows'!$B$39)*EXP(-'Inputs'!$B$18*'Cash Flows'!$B$39)),IF('Cash Flows'!$B$40="",0,EXP(-D24*'Cash Flows'!$B$40)*EXP(-'Inputs'!$B$18*'Cash Flows'!$B$40)),IF('Cash Flows'!$B$41="",0,EXP(-D24*'Cash Flows'!$B$41)*EXP(-'Inputs'!$B$18*'Cash Flows'!$B$41)),IF('Cash Flows'!$B$42="",0,EXP(-D24*'Cash Flows'!$B$42)*EXP(-'Inputs'!$B$18*'Cash Flows'!$B$42)),IF('Cash Flows'!$B$43="",0,EXP(-D24*'Cash Flows'!$B$43)*EXP(-'Inputs'!$B$18*'Cash Flows'!$B$43)),IF('Cash Flows'!$B$44="",0,EXP(-D24*'Cash Flows'!$B$44)*EXP(-'Inputs'!$B$18*'Cash Flows'!$B$44)),IF('Cash Flows'!$B$45="",0,EXP(-D24*'Cash Flows'!$B$45)*EXP(-'Inputs'!$B$18*'Cash Flows'!$B$45)))</x:f>
        <x:v>14.727457750371316</x:v>
      </x:c>
      <x:c r="I24" s="158" t="n">
        <x:f>SUM(IF('Cash Flows'!$B$6="",0,(EXP(-D24*'Cash Flows'!$C$6)-EXP(-D24*'Cash Flows'!$B$6))*EXP(-'Inputs'!$B$18*'Cash Flows'!$B$6)),IF('Cash Flows'!$B$7="",0,(EXP(-D24*'Cash Flows'!$C$7)-EXP(-D24*'Cash Flows'!$B$7))*EXP(-'Inputs'!$B$18*'Cash Flows'!$B$7)),IF('Cash Flows'!$B$8="",0,(EXP(-D24*'Cash Flows'!$C$8)-EXP(-D24*'Cash Flows'!$B$8))*EXP(-'Inputs'!$B$18*'Cash Flows'!$B$8)),IF('Cash Flows'!$B$9="",0,(EXP(-D24*'Cash Flows'!$C$9)-EXP(-D24*'Cash Flows'!$B$9))*EXP(-'Inputs'!$B$18*'Cash Flows'!$B$9)),IF('Cash Flows'!$B$10="",0,(EXP(-D24*'Cash Flows'!$C$10)-EXP(-D24*'Cash Flows'!$B$10))*EXP(-'Inputs'!$B$18*'Cash Flows'!$B$10)),IF('Cash Flows'!$B$11="",0,(EXP(-D24*'Cash Flows'!$C$11)-EXP(-D24*'Cash Flows'!$B$11))*EXP(-'Inputs'!$B$18*'Cash Flows'!$B$11)),IF('Cash Flows'!$B$12="",0,(EXP(-D24*'Cash Flows'!$C$12)-EXP(-D24*'Cash Flows'!$B$12))*EXP(-'Inputs'!$B$18*'Cash Flows'!$B$12)),IF('Cash Flows'!$B$13="",0,(EXP(-D24*'Cash Flows'!$C$13)-EXP(-D24*'Cash Flows'!$B$13))*EXP(-'Inputs'!$B$18*'Cash Flows'!$B$13)),IF('Cash Flows'!$B$14="",0,(EXP(-D24*'Cash Flows'!$C$14)-EXP(-D24*'Cash Flows'!$B$14))*EXP(-'Inputs'!$B$18*'Cash Flows'!$B$14)),IF('Cash Flows'!$B$15="",0,(EXP(-D24*'Cash Flows'!$C$15)-EXP(-D24*'Cash Flows'!$B$15))*EXP(-'Inputs'!$B$18*'Cash Flows'!$B$15)),IF('Cash Flows'!$B$16="",0,(EXP(-D24*'Cash Flows'!$C$16)-EXP(-D24*'Cash Flows'!$B$16))*EXP(-'Inputs'!$B$18*'Cash Flows'!$B$16)),IF('Cash Flows'!$B$17="",0,(EXP(-D24*'Cash Flows'!$C$17)-EXP(-D24*'Cash Flows'!$B$17))*EXP(-'Inputs'!$B$18*'Cash Flows'!$B$17)),IF('Cash Flows'!$B$18="",0,(EXP(-D24*'Cash Flows'!$C$18)-EXP(-D24*'Cash Flows'!$B$18))*EXP(-'Inputs'!$B$18*'Cash Flows'!$B$18)),IF('Cash Flows'!$B$19="",0,(EXP(-D24*'Cash Flows'!$C$19)-EXP(-D24*'Cash Flows'!$B$19))*EXP(-'Inputs'!$B$18*'Cash Flows'!$B$19)),IF('Cash Flows'!$B$20="",0,(EXP(-D24*'Cash Flows'!$C$20)-EXP(-D24*'Cash Flows'!$B$20))*EXP(-'Inputs'!$B$18*'Cash Flows'!$B$20)),IF('Cash Flows'!$B$21="",0,(EXP(-D24*'Cash Flows'!$C$21)-EXP(-D24*'Cash Flows'!$B$21))*EXP(-'Inputs'!$B$18*'Cash Flows'!$B$21)),IF('Cash Flows'!$B$22="",0,(EXP(-D24*'Cash Flows'!$C$22)-EXP(-D24*'Cash Flows'!$B$22))*EXP(-'Inputs'!$B$18*'Cash Flows'!$B$22)),IF('Cash Flows'!$B$23="",0,(EXP(-D24*'Cash Flows'!$C$23)-EXP(-D24*'Cash Flows'!$B$23))*EXP(-'Inputs'!$B$18*'Cash Flows'!$B$23)),IF('Cash Flows'!$B$24="",0,(EXP(-D24*'Cash Flows'!$C$24)-EXP(-D24*'Cash Flows'!$B$24))*EXP(-'Inputs'!$B$18*'Cash Flows'!$B$24)),IF('Cash Flows'!$B$25="",0,(EXP(-D24*'Cash Flows'!$C$25)-EXP(-D24*'Cash Flows'!$B$25))*EXP(-'Inputs'!$B$18*'Cash Flows'!$B$25)),IF('Cash Flows'!$B$26="",0,(EXP(-D24*'Cash Flows'!$C$26)-EXP(-D24*'Cash Flows'!$B$26))*EXP(-'Inputs'!$B$18*'Cash Flows'!$B$26)),IF('Cash Flows'!$B$27="",0,(EXP(-D24*'Cash Flows'!$C$27)-EXP(-D24*'Cash Flows'!$B$27))*EXP(-'Inputs'!$B$18*'Cash Flows'!$B$27)),IF('Cash Flows'!$B$28="",0,(EXP(-D24*'Cash Flows'!$C$28)-EXP(-D24*'Cash Flows'!$B$28))*EXP(-'Inputs'!$B$18*'Cash Flows'!$B$28)),IF('Cash Flows'!$B$29="",0,(EXP(-D24*'Cash Flows'!$C$29)-EXP(-D24*'Cash Flows'!$B$29))*EXP(-'Inputs'!$B$18*'Cash Flows'!$B$29)),IF('Cash Flows'!$B$30="",0,(EXP(-D24*'Cash Flows'!$C$30)-EXP(-D24*'Cash Flows'!$B$30))*EXP(-'Inputs'!$B$18*'Cash Flows'!$B$30)),IF('Cash Flows'!$B$31="",0,(EXP(-D24*'Cash Flows'!$C$31)-EXP(-D24*'Cash Flows'!$B$31))*EXP(-'Inputs'!$B$18*'Cash Flows'!$B$31)),IF('Cash Flows'!$B$32="",0,(EXP(-D24*'Cash Flows'!$C$32)-EXP(-D24*'Cash Flows'!$B$32))*EXP(-'Inputs'!$B$18*'Cash Flows'!$B$32)),IF('Cash Flows'!$B$33="",0,(EXP(-D24*'Cash Flows'!$C$33)-EXP(-D24*'Cash Flows'!$B$33))*EXP(-'Inputs'!$B$18*'Cash Flows'!$B$33)),IF('Cash Flows'!$B$34="",0,(EXP(-D24*'Cash Flows'!$C$34)-EXP(-D24*'Cash Flows'!$B$34))*EXP(-'Inputs'!$B$18*'Cash Flows'!$B$34)),IF('Cash Flows'!$B$35="",0,(EXP(-D24*'Cash Flows'!$C$35)-EXP(-D24*'Cash Flows'!$B$35))*EXP(-'Inputs'!$B$18*'Cash Flows'!$B$35)),IF('Cash Flows'!$B$36="",0,(EXP(-D24*'Cash Flows'!$C$36)-EXP(-D24*'Cash Flows'!$B$36))*EXP(-'Inputs'!$B$18*'Cash Flows'!$B$36)),IF('Cash Flows'!$B$37="",0,(EXP(-D24*'Cash Flows'!$C$37)-EXP(-D24*'Cash Flows'!$B$37))*EXP(-'Inputs'!$B$18*'Cash Flows'!$B$37)),IF('Cash Flows'!$B$38="",0,(EXP(-D24*'Cash Flows'!$C$38)-EXP(-D24*'Cash Flows'!$B$38))*EXP(-'Inputs'!$B$18*'Cash Flows'!$B$38)),IF('Cash Flows'!$B$39="",0,(EXP(-D24*'Cash Flows'!$C$39)-EXP(-D24*'Cash Flows'!$B$39))*EXP(-'Inputs'!$B$18*'Cash Flows'!$B$39)),IF('Cash Flows'!$B$40="",0,(EXP(-D24*'Cash Flows'!$C$40)-EXP(-D24*'Cash Flows'!$B$40))*EXP(-'Inputs'!$B$18*'Cash Flows'!$B$40)),IF('Cash Flows'!$B$41="",0,(EXP(-D24*'Cash Flows'!$C$41)-EXP(-D24*'Cash Flows'!$B$41))*EXP(-'Inputs'!$B$18*'Cash Flows'!$B$41)),IF('Cash Flows'!$B$42="",0,(EXP(-D24*'Cash Flows'!$C$42)-EXP(-D24*'Cash Flows'!$B$42))*EXP(-'Inputs'!$B$18*'Cash Flows'!$B$42)),IF('Cash Flows'!$B$43="",0,(EXP(-D24*'Cash Flows'!$C$43)-EXP(-D24*'Cash Flows'!$B$43))*EXP(-'Inputs'!$B$18*'Cash Flows'!$B$43)),IF('Cash Flows'!$B$44="",0,(EXP(-D24*'Cash Flows'!$C$44)-EXP(-D24*'Cash Flows'!$B$44))*EXP(-'Inputs'!$B$18*'Cash Flows'!$B$44)),IF('Cash Flows'!$B$45="",0,(EXP(-D24*'Cash Flows'!$C$45)-EXP(-D24*'Cash Flows'!$B$45))*EXP(-'Inputs'!$B$18*'Cash Flows'!$B$45)))</x:f>
        <x:v>0.2975143817449311</x:v>
      </x:c>
      <x:c r="J24" s="111"/>
      <x:c r="K24" s="111"/>
      <x:c r="L24" s="111"/>
      <x:c r="M24" s="111"/>
      <x:c r="N24" s="111"/>
      <x:c r="O24" s="111"/>
    </x:row>
    <x:row r="25">
      <x:c r="A25" s="129" t="str">
        <x:v>S600 / R50</x:v>
      </x:c>
      <x:c r="B25" s="136" t="n">
        <x:v>0.06</x:v>
      </x:c>
      <x:c r="C25" s="136" t="n">
        <x:v>0.5</x:v>
      </x:c>
      <x:c r="D25" s="136" t="n">
        <x:f>IF(C25&lt;1,B25/(1-C25),0)</x:f>
        <x:v>0.12</x:v>
      </x:c>
      <x:c r="E25" s="136" t="n">
        <x:f>1-EXP(-D25*'Inputs'!$B$10)</x:f>
        <x:v>0.4511883639059735</x:v>
      </x:c>
      <x:c r="F25" s="136" t="n">
        <x:f>'Inputs'!$B$35/'Inputs'!$B$9*H25+MAX(0,C25-IF('Inputs'!$B$6="REPACK",'Inputs'!$B$21,0))*I25+EXP(-D25*'Inputs'!$B$10)*EXP(-'Inputs'!$B$18*'Inputs'!$B$10)</x:f>
        <x:v>0.8912056815173195</x:v>
      </x:c>
      <x:c r="G25" s="136" t="n">
        <x:f>IF(H25&gt;0,IF('Inputs'!$B$6="CLN",('Inputs'!$B$11-MAX(0,C25-IF('Inputs'!$B$6="REPACK",'Inputs'!$B$21,0))*I25-EXP(-D25*'Inputs'!$B$10)*EXP(-'Inputs'!$B$18*'Inputs'!$B$10))/(H25/'Inputs'!$B$9),('Inputs'!$B$11-'Inputs'!$B$29+'Inputs'!$B$28/'Inputs'!$B$9*H25+C25*I25+EXP(-D25*'Inputs'!$B$10)*EXP(-'Inputs'!$B$18*'Inputs'!$B$10)-MAX(0,C25-IF('Inputs'!$B$6="REPACK",'Inputs'!$B$21,0))*I25-EXP(-D25*'Inputs'!$B$10)*EXP(-'Inputs'!$B$18*'Inputs'!$B$10)-('Inputs'!$B$30+'Inputs'!$B$31)/'Inputs'!$B$9*H25)/(H25/'Inputs'!$B$9)),"")</x:f>
        <x:v>0.10493686910084675</x:v>
      </x:c>
      <x:c r="H25" s="157" t="n">
        <x:f>SUM(IF('Cash Flows'!$B$6="",0,EXP(-D25*'Cash Flows'!$B$6)*EXP(-'Inputs'!$B$18*'Cash Flows'!$B$6)),IF('Cash Flows'!$B$7="",0,EXP(-D25*'Cash Flows'!$B$7)*EXP(-'Inputs'!$B$18*'Cash Flows'!$B$7)),IF('Cash Flows'!$B$8="",0,EXP(-D25*'Cash Flows'!$B$8)*EXP(-'Inputs'!$B$18*'Cash Flows'!$B$8)),IF('Cash Flows'!$B$9="",0,EXP(-D25*'Cash Flows'!$B$9)*EXP(-'Inputs'!$B$18*'Cash Flows'!$B$9)),IF('Cash Flows'!$B$10="",0,EXP(-D25*'Cash Flows'!$B$10)*EXP(-'Inputs'!$B$18*'Cash Flows'!$B$10)),IF('Cash Flows'!$B$11="",0,EXP(-D25*'Cash Flows'!$B$11)*EXP(-'Inputs'!$B$18*'Cash Flows'!$B$11)),IF('Cash Flows'!$B$12="",0,EXP(-D25*'Cash Flows'!$B$12)*EXP(-'Inputs'!$B$18*'Cash Flows'!$B$12)),IF('Cash Flows'!$B$13="",0,EXP(-D25*'Cash Flows'!$B$13)*EXP(-'Inputs'!$B$18*'Cash Flows'!$B$13)),IF('Cash Flows'!$B$14="",0,EXP(-D25*'Cash Flows'!$B$14)*EXP(-'Inputs'!$B$18*'Cash Flows'!$B$14)),IF('Cash Flows'!$B$15="",0,EXP(-D25*'Cash Flows'!$B$15)*EXP(-'Inputs'!$B$18*'Cash Flows'!$B$15)),IF('Cash Flows'!$B$16="",0,EXP(-D25*'Cash Flows'!$B$16)*EXP(-'Inputs'!$B$18*'Cash Flows'!$B$16)),IF('Cash Flows'!$B$17="",0,EXP(-D25*'Cash Flows'!$B$17)*EXP(-'Inputs'!$B$18*'Cash Flows'!$B$17)),IF('Cash Flows'!$B$18="",0,EXP(-D25*'Cash Flows'!$B$18)*EXP(-'Inputs'!$B$18*'Cash Flows'!$B$18)),IF('Cash Flows'!$B$19="",0,EXP(-D25*'Cash Flows'!$B$19)*EXP(-'Inputs'!$B$18*'Cash Flows'!$B$19)),IF('Cash Flows'!$B$20="",0,EXP(-D25*'Cash Flows'!$B$20)*EXP(-'Inputs'!$B$18*'Cash Flows'!$B$20)),IF('Cash Flows'!$B$21="",0,EXP(-D25*'Cash Flows'!$B$21)*EXP(-'Inputs'!$B$18*'Cash Flows'!$B$21)),IF('Cash Flows'!$B$22="",0,EXP(-D25*'Cash Flows'!$B$22)*EXP(-'Inputs'!$B$18*'Cash Flows'!$B$22)),IF('Cash Flows'!$B$23="",0,EXP(-D25*'Cash Flows'!$B$23)*EXP(-'Inputs'!$B$18*'Cash Flows'!$B$23)),IF('Cash Flows'!$B$24="",0,EXP(-D25*'Cash Flows'!$B$24)*EXP(-'Inputs'!$B$18*'Cash Flows'!$B$24)),IF('Cash Flows'!$B$25="",0,EXP(-D25*'Cash Flows'!$B$25)*EXP(-'Inputs'!$B$18*'Cash Flows'!$B$25)),IF('Cash Flows'!$B$26="",0,EXP(-D25*'Cash Flows'!$B$26)*EXP(-'Inputs'!$B$18*'Cash Flows'!$B$26)),IF('Cash Flows'!$B$27="",0,EXP(-D25*'Cash Flows'!$B$27)*EXP(-'Inputs'!$B$18*'Cash Flows'!$B$27)),IF('Cash Flows'!$B$28="",0,EXP(-D25*'Cash Flows'!$B$28)*EXP(-'Inputs'!$B$18*'Cash Flows'!$B$28)),IF('Cash Flows'!$B$29="",0,EXP(-D25*'Cash Flows'!$B$29)*EXP(-'Inputs'!$B$18*'Cash Flows'!$B$29)),IF('Cash Flows'!$B$30="",0,EXP(-D25*'Cash Flows'!$B$30)*EXP(-'Inputs'!$B$18*'Cash Flows'!$B$30)),IF('Cash Flows'!$B$31="",0,EXP(-D25*'Cash Flows'!$B$31)*EXP(-'Inputs'!$B$18*'Cash Flows'!$B$31)),IF('Cash Flows'!$B$32="",0,EXP(-D25*'Cash Flows'!$B$32)*EXP(-'Inputs'!$B$18*'Cash Flows'!$B$32)),IF('Cash Flows'!$B$33="",0,EXP(-D25*'Cash Flows'!$B$33)*EXP(-'Inputs'!$B$18*'Cash Flows'!$B$33)),IF('Cash Flows'!$B$34="",0,EXP(-D25*'Cash Flows'!$B$34)*EXP(-'Inputs'!$B$18*'Cash Flows'!$B$34)),IF('Cash Flows'!$B$35="",0,EXP(-D25*'Cash Flows'!$B$35)*EXP(-'Inputs'!$B$18*'Cash Flows'!$B$35)),IF('Cash Flows'!$B$36="",0,EXP(-D25*'Cash Flows'!$B$36)*EXP(-'Inputs'!$B$18*'Cash Flows'!$B$36)),IF('Cash Flows'!$B$37="",0,EXP(-D25*'Cash Flows'!$B$37)*EXP(-'Inputs'!$B$18*'Cash Flows'!$B$37)),IF('Cash Flows'!$B$38="",0,EXP(-D25*'Cash Flows'!$B$38)*EXP(-'Inputs'!$B$18*'Cash Flows'!$B$38)),IF('Cash Flows'!$B$39="",0,EXP(-D25*'Cash Flows'!$B$39)*EXP(-'Inputs'!$B$18*'Cash Flows'!$B$39)),IF('Cash Flows'!$B$40="",0,EXP(-D25*'Cash Flows'!$B$40)*EXP(-'Inputs'!$B$18*'Cash Flows'!$B$40)),IF('Cash Flows'!$B$41="",0,EXP(-D25*'Cash Flows'!$B$41)*EXP(-'Inputs'!$B$18*'Cash Flows'!$B$41)),IF('Cash Flows'!$B$42="",0,EXP(-D25*'Cash Flows'!$B$42)*EXP(-'Inputs'!$B$18*'Cash Flows'!$B$42)),IF('Cash Flows'!$B$43="",0,EXP(-D25*'Cash Flows'!$B$43)*EXP(-'Inputs'!$B$18*'Cash Flows'!$B$43)),IF('Cash Flows'!$B$44="",0,EXP(-D25*'Cash Flows'!$B$44)*EXP(-'Inputs'!$B$18*'Cash Flows'!$B$44)),IF('Cash Flows'!$B$45="",0,EXP(-D25*'Cash Flows'!$B$45)*EXP(-'Inputs'!$B$18*'Cash Flows'!$B$45)))</x:f>
        <x:v>13.416130656067594</x:v>
      </x:c>
      <x:c r="I25" s="158" t="n">
        <x:f>SUM(IF('Cash Flows'!$B$6="",0,(EXP(-D25*'Cash Flows'!$C$6)-EXP(-D25*'Cash Flows'!$B$6))*EXP(-'Inputs'!$B$18*'Cash Flows'!$B$6)),IF('Cash Flows'!$B$7="",0,(EXP(-D25*'Cash Flows'!$C$7)-EXP(-D25*'Cash Flows'!$B$7))*EXP(-'Inputs'!$B$18*'Cash Flows'!$B$7)),IF('Cash Flows'!$B$8="",0,(EXP(-D25*'Cash Flows'!$C$8)-EXP(-D25*'Cash Flows'!$B$8))*EXP(-'Inputs'!$B$18*'Cash Flows'!$B$8)),IF('Cash Flows'!$B$9="",0,(EXP(-D25*'Cash Flows'!$C$9)-EXP(-D25*'Cash Flows'!$B$9))*EXP(-'Inputs'!$B$18*'Cash Flows'!$B$9)),IF('Cash Flows'!$B$10="",0,(EXP(-D25*'Cash Flows'!$C$10)-EXP(-D25*'Cash Flows'!$B$10))*EXP(-'Inputs'!$B$18*'Cash Flows'!$B$10)),IF('Cash Flows'!$B$11="",0,(EXP(-D25*'Cash Flows'!$C$11)-EXP(-D25*'Cash Flows'!$B$11))*EXP(-'Inputs'!$B$18*'Cash Flows'!$B$11)),IF('Cash Flows'!$B$12="",0,(EXP(-D25*'Cash Flows'!$C$12)-EXP(-D25*'Cash Flows'!$B$12))*EXP(-'Inputs'!$B$18*'Cash Flows'!$B$12)),IF('Cash Flows'!$B$13="",0,(EXP(-D25*'Cash Flows'!$C$13)-EXP(-D25*'Cash Flows'!$B$13))*EXP(-'Inputs'!$B$18*'Cash Flows'!$B$13)),IF('Cash Flows'!$B$14="",0,(EXP(-D25*'Cash Flows'!$C$14)-EXP(-D25*'Cash Flows'!$B$14))*EXP(-'Inputs'!$B$18*'Cash Flows'!$B$14)),IF('Cash Flows'!$B$15="",0,(EXP(-D25*'Cash Flows'!$C$15)-EXP(-D25*'Cash Flows'!$B$15))*EXP(-'Inputs'!$B$18*'Cash Flows'!$B$15)),IF('Cash Flows'!$B$16="",0,(EXP(-D25*'Cash Flows'!$C$16)-EXP(-D25*'Cash Flows'!$B$16))*EXP(-'Inputs'!$B$18*'Cash Flows'!$B$16)),IF('Cash Flows'!$B$17="",0,(EXP(-D25*'Cash Flows'!$C$17)-EXP(-D25*'Cash Flows'!$B$17))*EXP(-'Inputs'!$B$18*'Cash Flows'!$B$17)),IF('Cash Flows'!$B$18="",0,(EXP(-D25*'Cash Flows'!$C$18)-EXP(-D25*'Cash Flows'!$B$18))*EXP(-'Inputs'!$B$18*'Cash Flows'!$B$18)),IF('Cash Flows'!$B$19="",0,(EXP(-D25*'Cash Flows'!$C$19)-EXP(-D25*'Cash Flows'!$B$19))*EXP(-'Inputs'!$B$18*'Cash Flows'!$B$19)),IF('Cash Flows'!$B$20="",0,(EXP(-D25*'Cash Flows'!$C$20)-EXP(-D25*'Cash Flows'!$B$20))*EXP(-'Inputs'!$B$18*'Cash Flows'!$B$20)),IF('Cash Flows'!$B$21="",0,(EXP(-D25*'Cash Flows'!$C$21)-EXP(-D25*'Cash Flows'!$B$21))*EXP(-'Inputs'!$B$18*'Cash Flows'!$B$21)),IF('Cash Flows'!$B$22="",0,(EXP(-D25*'Cash Flows'!$C$22)-EXP(-D25*'Cash Flows'!$B$22))*EXP(-'Inputs'!$B$18*'Cash Flows'!$B$22)),IF('Cash Flows'!$B$23="",0,(EXP(-D25*'Cash Flows'!$C$23)-EXP(-D25*'Cash Flows'!$B$23))*EXP(-'Inputs'!$B$18*'Cash Flows'!$B$23)),IF('Cash Flows'!$B$24="",0,(EXP(-D25*'Cash Flows'!$C$24)-EXP(-D25*'Cash Flows'!$B$24))*EXP(-'Inputs'!$B$18*'Cash Flows'!$B$24)),IF('Cash Flows'!$B$25="",0,(EXP(-D25*'Cash Flows'!$C$25)-EXP(-D25*'Cash Flows'!$B$25))*EXP(-'Inputs'!$B$18*'Cash Flows'!$B$25)),IF('Cash Flows'!$B$26="",0,(EXP(-D25*'Cash Flows'!$C$26)-EXP(-D25*'Cash Flows'!$B$26))*EXP(-'Inputs'!$B$18*'Cash Flows'!$B$26)),IF('Cash Flows'!$B$27="",0,(EXP(-D25*'Cash Flows'!$C$27)-EXP(-D25*'Cash Flows'!$B$27))*EXP(-'Inputs'!$B$18*'Cash Flows'!$B$27)),IF('Cash Flows'!$B$28="",0,(EXP(-D25*'Cash Flows'!$C$28)-EXP(-D25*'Cash Flows'!$B$28))*EXP(-'Inputs'!$B$18*'Cash Flows'!$B$28)),IF('Cash Flows'!$B$29="",0,(EXP(-D25*'Cash Flows'!$C$29)-EXP(-D25*'Cash Flows'!$B$29))*EXP(-'Inputs'!$B$18*'Cash Flows'!$B$29)),IF('Cash Flows'!$B$30="",0,(EXP(-D25*'Cash Flows'!$C$30)-EXP(-D25*'Cash Flows'!$B$30))*EXP(-'Inputs'!$B$18*'Cash Flows'!$B$30)),IF('Cash Flows'!$B$31="",0,(EXP(-D25*'Cash Flows'!$C$31)-EXP(-D25*'Cash Flows'!$B$31))*EXP(-'Inputs'!$B$18*'Cash Flows'!$B$31)),IF('Cash Flows'!$B$32="",0,(EXP(-D25*'Cash Flows'!$C$32)-EXP(-D25*'Cash Flows'!$B$32))*EXP(-'Inputs'!$B$18*'Cash Flows'!$B$32)),IF('Cash Flows'!$B$33="",0,(EXP(-D25*'Cash Flows'!$C$33)-EXP(-D25*'Cash Flows'!$B$33))*EXP(-'Inputs'!$B$18*'Cash Flows'!$B$33)),IF('Cash Flows'!$B$34="",0,(EXP(-D25*'Cash Flows'!$C$34)-EXP(-D25*'Cash Flows'!$B$34))*EXP(-'Inputs'!$B$18*'Cash Flows'!$B$34)),IF('Cash Flows'!$B$35="",0,(EXP(-D25*'Cash Flows'!$C$35)-EXP(-D25*'Cash Flows'!$B$35))*EXP(-'Inputs'!$B$18*'Cash Flows'!$B$35)),IF('Cash Flows'!$B$36="",0,(EXP(-D25*'Cash Flows'!$C$36)-EXP(-D25*'Cash Flows'!$B$36))*EXP(-'Inputs'!$B$18*'Cash Flows'!$B$36)),IF('Cash Flows'!$B$37="",0,(EXP(-D25*'Cash Flows'!$C$37)-EXP(-D25*'Cash Flows'!$B$37))*EXP(-'Inputs'!$B$18*'Cash Flows'!$B$37)),IF('Cash Flows'!$B$38="",0,(EXP(-D25*'Cash Flows'!$C$38)-EXP(-D25*'Cash Flows'!$B$38))*EXP(-'Inputs'!$B$18*'Cash Flows'!$B$38)),IF('Cash Flows'!$B$39="",0,(EXP(-D25*'Cash Flows'!$C$39)-EXP(-D25*'Cash Flows'!$B$39))*EXP(-'Inputs'!$B$18*'Cash Flows'!$B$39)),IF('Cash Flows'!$B$40="",0,(EXP(-D25*'Cash Flows'!$C$40)-EXP(-D25*'Cash Flows'!$B$40))*EXP(-'Inputs'!$B$18*'Cash Flows'!$B$40)),IF('Cash Flows'!$B$41="",0,(EXP(-D25*'Cash Flows'!$C$41)-EXP(-D25*'Cash Flows'!$B$41))*EXP(-'Inputs'!$B$18*'Cash Flows'!$B$41)),IF('Cash Flows'!$B$42="",0,(EXP(-D25*'Cash Flows'!$C$42)-EXP(-D25*'Cash Flows'!$B$42))*EXP(-'Inputs'!$B$18*'Cash Flows'!$B$42)),IF('Cash Flows'!$B$43="",0,(EXP(-D25*'Cash Flows'!$C$43)-EXP(-D25*'Cash Flows'!$B$43))*EXP(-'Inputs'!$B$18*'Cash Flows'!$B$43)),IF('Cash Flows'!$B$44="",0,(EXP(-D25*'Cash Flows'!$C$44)-EXP(-D25*'Cash Flows'!$B$44))*EXP(-'Inputs'!$B$18*'Cash Flows'!$B$44)),IF('Cash Flows'!$B$45="",0,(EXP(-D25*'Cash Flows'!$C$45)-EXP(-D25*'Cash Flows'!$B$45))*EXP(-'Inputs'!$B$18*'Cash Flows'!$B$45)))</x:f>
        <x:v>0.4085820065900289</x:v>
      </x:c>
      <x:c r="J25" s="111"/>
      <x:c r="K25" s="111"/>
      <x:c r="L25" s="111"/>
      <x:c r="M25" s="111"/>
      <x:c r="N25" s="111"/>
      <x:c r="O25" s="111"/>
    </x:row>
    <x:row r="26">
      <x:c r="A26" s="129" t="str">
        <x:v>S100 / R60</x:v>
      </x:c>
      <x:c r="B26" s="136" t="n">
        <x:v>0.01</x:v>
      </x:c>
      <x:c r="C26" s="136" t="n">
        <x:v>0.6</x:v>
      </x:c>
      <x:c r="D26" s="136" t="n">
        <x:f>IF(C26&lt;1,B26/(1-C26),0)</x:f>
        <x:v>0.024999999999999998</x:v>
      </x:c>
      <x:c r="E26" s="136" t="n">
        <x:f>1-EXP(-D26*'Inputs'!$B$10)</x:f>
        <x:v>0.11750309741540454</x:v>
      </x:c>
      <x:c r="F26" s="136" t="n">
        <x:f>'Inputs'!$B$35/'Inputs'!$B$9*H26+MAX(0,C26-IF('Inputs'!$B$6="REPACK",'Inputs'!$B$21,0))*I26+EXP(-D26*'Inputs'!$B$10)*EXP(-'Inputs'!$B$18*'Inputs'!$B$10)</x:f>
        <x:v>1.0819469354222337</x:v>
      </x:c>
      <x:c r="G26" s="136" t="n">
        <x:f>IF(H26&gt;0,IF('Inputs'!$B$6="CLN",('Inputs'!$B$11-MAX(0,C26-IF('Inputs'!$B$6="REPACK",'Inputs'!$B$21,0))*I26-EXP(-D26*'Inputs'!$B$10)*EXP(-'Inputs'!$B$18*'Inputs'!$B$10))/(H26/'Inputs'!$B$9),('Inputs'!$B$11-'Inputs'!$B$29+'Inputs'!$B$28/'Inputs'!$B$9*H26+C26*I26+EXP(-D26*'Inputs'!$B$10)*EXP(-'Inputs'!$B$18*'Inputs'!$B$10)-MAX(0,C26-IF('Inputs'!$B$6="REPACK",'Inputs'!$B$21,0))*I26-EXP(-D26*'Inputs'!$B$10)*EXP(-'Inputs'!$B$18*'Inputs'!$B$10)-('Inputs'!$B$30+'Inputs'!$B$31)/'Inputs'!$B$9*H26)/(H26/'Inputs'!$B$9)),"")</x:f>
        <x:v>0.05302577561523852</x:v>
      </x:c>
      <x:c r="H26" s="157" t="n">
        <x:f>SUM(IF('Cash Flows'!$B$6="",0,EXP(-D26*'Cash Flows'!$B$6)*EXP(-'Inputs'!$B$18*'Cash Flows'!$B$6)),IF('Cash Flows'!$B$7="",0,EXP(-D26*'Cash Flows'!$B$7)*EXP(-'Inputs'!$B$18*'Cash Flows'!$B$7)),IF('Cash Flows'!$B$8="",0,EXP(-D26*'Cash Flows'!$B$8)*EXP(-'Inputs'!$B$18*'Cash Flows'!$B$8)),IF('Cash Flows'!$B$9="",0,EXP(-D26*'Cash Flows'!$B$9)*EXP(-'Inputs'!$B$18*'Cash Flows'!$B$9)),IF('Cash Flows'!$B$10="",0,EXP(-D26*'Cash Flows'!$B$10)*EXP(-'Inputs'!$B$18*'Cash Flows'!$B$10)),IF('Cash Flows'!$B$11="",0,EXP(-D26*'Cash Flows'!$B$11)*EXP(-'Inputs'!$B$18*'Cash Flows'!$B$11)),IF('Cash Flows'!$B$12="",0,EXP(-D26*'Cash Flows'!$B$12)*EXP(-'Inputs'!$B$18*'Cash Flows'!$B$12)),IF('Cash Flows'!$B$13="",0,EXP(-D26*'Cash Flows'!$B$13)*EXP(-'Inputs'!$B$18*'Cash Flows'!$B$13)),IF('Cash Flows'!$B$14="",0,EXP(-D26*'Cash Flows'!$B$14)*EXP(-'Inputs'!$B$18*'Cash Flows'!$B$14)),IF('Cash Flows'!$B$15="",0,EXP(-D26*'Cash Flows'!$B$15)*EXP(-'Inputs'!$B$18*'Cash Flows'!$B$15)),IF('Cash Flows'!$B$16="",0,EXP(-D26*'Cash Flows'!$B$16)*EXP(-'Inputs'!$B$18*'Cash Flows'!$B$16)),IF('Cash Flows'!$B$17="",0,EXP(-D26*'Cash Flows'!$B$17)*EXP(-'Inputs'!$B$18*'Cash Flows'!$B$17)),IF('Cash Flows'!$B$18="",0,EXP(-D26*'Cash Flows'!$B$18)*EXP(-'Inputs'!$B$18*'Cash Flows'!$B$18)),IF('Cash Flows'!$B$19="",0,EXP(-D26*'Cash Flows'!$B$19)*EXP(-'Inputs'!$B$18*'Cash Flows'!$B$19)),IF('Cash Flows'!$B$20="",0,EXP(-D26*'Cash Flows'!$B$20)*EXP(-'Inputs'!$B$18*'Cash Flows'!$B$20)),IF('Cash Flows'!$B$21="",0,EXP(-D26*'Cash Flows'!$B$21)*EXP(-'Inputs'!$B$18*'Cash Flows'!$B$21)),IF('Cash Flows'!$B$22="",0,EXP(-D26*'Cash Flows'!$B$22)*EXP(-'Inputs'!$B$18*'Cash Flows'!$B$22)),IF('Cash Flows'!$B$23="",0,EXP(-D26*'Cash Flows'!$B$23)*EXP(-'Inputs'!$B$18*'Cash Flows'!$B$23)),IF('Cash Flows'!$B$24="",0,EXP(-D26*'Cash Flows'!$B$24)*EXP(-'Inputs'!$B$18*'Cash Flows'!$B$24)),IF('Cash Flows'!$B$25="",0,EXP(-D26*'Cash Flows'!$B$25)*EXP(-'Inputs'!$B$18*'Cash Flows'!$B$25)),IF('Cash Flows'!$B$26="",0,EXP(-D26*'Cash Flows'!$B$26)*EXP(-'Inputs'!$B$18*'Cash Flows'!$B$26)),IF('Cash Flows'!$B$27="",0,EXP(-D26*'Cash Flows'!$B$27)*EXP(-'Inputs'!$B$18*'Cash Flows'!$B$27)),IF('Cash Flows'!$B$28="",0,EXP(-D26*'Cash Flows'!$B$28)*EXP(-'Inputs'!$B$18*'Cash Flows'!$B$28)),IF('Cash Flows'!$B$29="",0,EXP(-D26*'Cash Flows'!$B$29)*EXP(-'Inputs'!$B$18*'Cash Flows'!$B$29)),IF('Cash Flows'!$B$30="",0,EXP(-D26*'Cash Flows'!$B$30)*EXP(-'Inputs'!$B$18*'Cash Flows'!$B$30)),IF('Cash Flows'!$B$31="",0,EXP(-D26*'Cash Flows'!$B$31)*EXP(-'Inputs'!$B$18*'Cash Flows'!$B$31)),IF('Cash Flows'!$B$32="",0,EXP(-D26*'Cash Flows'!$B$32)*EXP(-'Inputs'!$B$18*'Cash Flows'!$B$32)),IF('Cash Flows'!$B$33="",0,EXP(-D26*'Cash Flows'!$B$33)*EXP(-'Inputs'!$B$18*'Cash Flows'!$B$33)),IF('Cash Flows'!$B$34="",0,EXP(-D26*'Cash Flows'!$B$34)*EXP(-'Inputs'!$B$18*'Cash Flows'!$B$34)),IF('Cash Flows'!$B$35="",0,EXP(-D26*'Cash Flows'!$B$35)*EXP(-'Inputs'!$B$18*'Cash Flows'!$B$35)),IF('Cash Flows'!$B$36="",0,EXP(-D26*'Cash Flows'!$B$36)*EXP(-'Inputs'!$B$18*'Cash Flows'!$B$36)),IF('Cash Flows'!$B$37="",0,EXP(-D26*'Cash Flows'!$B$37)*EXP(-'Inputs'!$B$18*'Cash Flows'!$B$37)),IF('Cash Flows'!$B$38="",0,EXP(-D26*'Cash Flows'!$B$38)*EXP(-'Inputs'!$B$18*'Cash Flows'!$B$38)),IF('Cash Flows'!$B$39="",0,EXP(-D26*'Cash Flows'!$B$39)*EXP(-'Inputs'!$B$18*'Cash Flows'!$B$39)),IF('Cash Flows'!$B$40="",0,EXP(-D26*'Cash Flows'!$B$40)*EXP(-'Inputs'!$B$18*'Cash Flows'!$B$40)),IF('Cash Flows'!$B$41="",0,EXP(-D26*'Cash Flows'!$B$41)*EXP(-'Inputs'!$B$18*'Cash Flows'!$B$41)),IF('Cash Flows'!$B$42="",0,EXP(-D26*'Cash Flows'!$B$42)*EXP(-'Inputs'!$B$18*'Cash Flows'!$B$42)),IF('Cash Flows'!$B$43="",0,EXP(-D26*'Cash Flows'!$B$43)*EXP(-'Inputs'!$B$18*'Cash Flows'!$B$43)),IF('Cash Flows'!$B$44="",0,EXP(-D26*'Cash Flows'!$B$44)*EXP(-'Inputs'!$B$18*'Cash Flows'!$B$44)),IF('Cash Flows'!$B$45="",0,EXP(-D26*'Cash Flows'!$B$45)*EXP(-'Inputs'!$B$18*'Cash Flows'!$B$45)))</x:f>
        <x:v>16.831876598147247</x:v>
      </x:c>
      <x:c r="I26" s="158" t="n">
        <x:f>SUM(IF('Cash Flows'!$B$6="",0,(EXP(-D26*'Cash Flows'!$C$6)-EXP(-D26*'Cash Flows'!$B$6))*EXP(-'Inputs'!$B$18*'Cash Flows'!$B$6)),IF('Cash Flows'!$B$7="",0,(EXP(-D26*'Cash Flows'!$C$7)-EXP(-D26*'Cash Flows'!$B$7))*EXP(-'Inputs'!$B$18*'Cash Flows'!$B$7)),IF('Cash Flows'!$B$8="",0,(EXP(-D26*'Cash Flows'!$C$8)-EXP(-D26*'Cash Flows'!$B$8))*EXP(-'Inputs'!$B$18*'Cash Flows'!$B$8)),IF('Cash Flows'!$B$9="",0,(EXP(-D26*'Cash Flows'!$C$9)-EXP(-D26*'Cash Flows'!$B$9))*EXP(-'Inputs'!$B$18*'Cash Flows'!$B$9)),IF('Cash Flows'!$B$10="",0,(EXP(-D26*'Cash Flows'!$C$10)-EXP(-D26*'Cash Flows'!$B$10))*EXP(-'Inputs'!$B$18*'Cash Flows'!$B$10)),IF('Cash Flows'!$B$11="",0,(EXP(-D26*'Cash Flows'!$C$11)-EXP(-D26*'Cash Flows'!$B$11))*EXP(-'Inputs'!$B$18*'Cash Flows'!$B$11)),IF('Cash Flows'!$B$12="",0,(EXP(-D26*'Cash Flows'!$C$12)-EXP(-D26*'Cash Flows'!$B$12))*EXP(-'Inputs'!$B$18*'Cash Flows'!$B$12)),IF('Cash Flows'!$B$13="",0,(EXP(-D26*'Cash Flows'!$C$13)-EXP(-D26*'Cash Flows'!$B$13))*EXP(-'Inputs'!$B$18*'Cash Flows'!$B$13)),IF('Cash Flows'!$B$14="",0,(EXP(-D26*'Cash Flows'!$C$14)-EXP(-D26*'Cash Flows'!$B$14))*EXP(-'Inputs'!$B$18*'Cash Flows'!$B$14)),IF('Cash Flows'!$B$15="",0,(EXP(-D26*'Cash Flows'!$C$15)-EXP(-D26*'Cash Flows'!$B$15))*EXP(-'Inputs'!$B$18*'Cash Flows'!$B$15)),IF('Cash Flows'!$B$16="",0,(EXP(-D26*'Cash Flows'!$C$16)-EXP(-D26*'Cash Flows'!$B$16))*EXP(-'Inputs'!$B$18*'Cash Flows'!$B$16)),IF('Cash Flows'!$B$17="",0,(EXP(-D26*'Cash Flows'!$C$17)-EXP(-D26*'Cash Flows'!$B$17))*EXP(-'Inputs'!$B$18*'Cash Flows'!$B$17)),IF('Cash Flows'!$B$18="",0,(EXP(-D26*'Cash Flows'!$C$18)-EXP(-D26*'Cash Flows'!$B$18))*EXP(-'Inputs'!$B$18*'Cash Flows'!$B$18)),IF('Cash Flows'!$B$19="",0,(EXP(-D26*'Cash Flows'!$C$19)-EXP(-D26*'Cash Flows'!$B$19))*EXP(-'Inputs'!$B$18*'Cash Flows'!$B$19)),IF('Cash Flows'!$B$20="",0,(EXP(-D26*'Cash Flows'!$C$20)-EXP(-D26*'Cash Flows'!$B$20))*EXP(-'Inputs'!$B$18*'Cash Flows'!$B$20)),IF('Cash Flows'!$B$21="",0,(EXP(-D26*'Cash Flows'!$C$21)-EXP(-D26*'Cash Flows'!$B$21))*EXP(-'Inputs'!$B$18*'Cash Flows'!$B$21)),IF('Cash Flows'!$B$22="",0,(EXP(-D26*'Cash Flows'!$C$22)-EXP(-D26*'Cash Flows'!$B$22))*EXP(-'Inputs'!$B$18*'Cash Flows'!$B$22)),IF('Cash Flows'!$B$23="",0,(EXP(-D26*'Cash Flows'!$C$23)-EXP(-D26*'Cash Flows'!$B$23))*EXP(-'Inputs'!$B$18*'Cash Flows'!$B$23)),IF('Cash Flows'!$B$24="",0,(EXP(-D26*'Cash Flows'!$C$24)-EXP(-D26*'Cash Flows'!$B$24))*EXP(-'Inputs'!$B$18*'Cash Flows'!$B$24)),IF('Cash Flows'!$B$25="",0,(EXP(-D26*'Cash Flows'!$C$25)-EXP(-D26*'Cash Flows'!$B$25))*EXP(-'Inputs'!$B$18*'Cash Flows'!$B$25)),IF('Cash Flows'!$B$26="",0,(EXP(-D26*'Cash Flows'!$C$26)-EXP(-D26*'Cash Flows'!$B$26))*EXP(-'Inputs'!$B$18*'Cash Flows'!$B$26)),IF('Cash Flows'!$B$27="",0,(EXP(-D26*'Cash Flows'!$C$27)-EXP(-D26*'Cash Flows'!$B$27))*EXP(-'Inputs'!$B$18*'Cash Flows'!$B$27)),IF('Cash Flows'!$B$28="",0,(EXP(-D26*'Cash Flows'!$C$28)-EXP(-D26*'Cash Flows'!$B$28))*EXP(-'Inputs'!$B$18*'Cash Flows'!$B$28)),IF('Cash Flows'!$B$29="",0,(EXP(-D26*'Cash Flows'!$C$29)-EXP(-D26*'Cash Flows'!$B$29))*EXP(-'Inputs'!$B$18*'Cash Flows'!$B$29)),IF('Cash Flows'!$B$30="",0,(EXP(-D26*'Cash Flows'!$C$30)-EXP(-D26*'Cash Flows'!$B$30))*EXP(-'Inputs'!$B$18*'Cash Flows'!$B$30)),IF('Cash Flows'!$B$31="",0,(EXP(-D26*'Cash Flows'!$C$31)-EXP(-D26*'Cash Flows'!$B$31))*EXP(-'Inputs'!$B$18*'Cash Flows'!$B$31)),IF('Cash Flows'!$B$32="",0,(EXP(-D26*'Cash Flows'!$C$32)-EXP(-D26*'Cash Flows'!$B$32))*EXP(-'Inputs'!$B$18*'Cash Flows'!$B$32)),IF('Cash Flows'!$B$33="",0,(EXP(-D26*'Cash Flows'!$C$33)-EXP(-D26*'Cash Flows'!$B$33))*EXP(-'Inputs'!$B$18*'Cash Flows'!$B$33)),IF('Cash Flows'!$B$34="",0,(EXP(-D26*'Cash Flows'!$C$34)-EXP(-D26*'Cash Flows'!$B$34))*EXP(-'Inputs'!$B$18*'Cash Flows'!$B$34)),IF('Cash Flows'!$B$35="",0,(EXP(-D26*'Cash Flows'!$C$35)-EXP(-D26*'Cash Flows'!$B$35))*EXP(-'Inputs'!$B$18*'Cash Flows'!$B$35)),IF('Cash Flows'!$B$36="",0,(EXP(-D26*'Cash Flows'!$C$36)-EXP(-D26*'Cash Flows'!$B$36))*EXP(-'Inputs'!$B$18*'Cash Flows'!$B$36)),IF('Cash Flows'!$B$37="",0,(EXP(-D26*'Cash Flows'!$C$37)-EXP(-D26*'Cash Flows'!$B$37))*EXP(-'Inputs'!$B$18*'Cash Flows'!$B$37)),IF('Cash Flows'!$B$38="",0,(EXP(-D26*'Cash Flows'!$C$38)-EXP(-D26*'Cash Flows'!$B$38))*EXP(-'Inputs'!$B$18*'Cash Flows'!$B$38)),IF('Cash Flows'!$B$39="",0,(EXP(-D26*'Cash Flows'!$C$39)-EXP(-D26*'Cash Flows'!$B$39))*EXP(-'Inputs'!$B$18*'Cash Flows'!$B$39)),IF('Cash Flows'!$B$40="",0,(EXP(-D26*'Cash Flows'!$C$40)-EXP(-D26*'Cash Flows'!$B$40))*EXP(-'Inputs'!$B$18*'Cash Flows'!$B$40)),IF('Cash Flows'!$B$41="",0,(EXP(-D26*'Cash Flows'!$C$41)-EXP(-D26*'Cash Flows'!$B$41))*EXP(-'Inputs'!$B$18*'Cash Flows'!$B$41)),IF('Cash Flows'!$B$42="",0,(EXP(-D26*'Cash Flows'!$C$42)-EXP(-D26*'Cash Flows'!$B$42))*EXP(-'Inputs'!$B$18*'Cash Flows'!$B$42)),IF('Cash Flows'!$B$43="",0,(EXP(-D26*'Cash Flows'!$C$43)-EXP(-D26*'Cash Flows'!$B$43))*EXP(-'Inputs'!$B$18*'Cash Flows'!$B$43)),IF('Cash Flows'!$B$44="",0,(EXP(-D26*'Cash Flows'!$C$44)-EXP(-D26*'Cash Flows'!$B$44))*EXP(-'Inputs'!$B$18*'Cash Flows'!$B$44)),IF('Cash Flows'!$B$45="",0,(EXP(-D26*'Cash Flows'!$C$45)-EXP(-D26*'Cash Flows'!$B$45))*EXP(-'Inputs'!$B$18*'Cash Flows'!$B$45)))</x:f>
        <x:v>0.1055286622905209</x:v>
      </x:c>
      <x:c r="J26" s="111"/>
      <x:c r="K26" s="111"/>
      <x:c r="L26" s="111"/>
      <x:c r="M26" s="111"/>
      <x:c r="N26" s="111"/>
      <x:c r="O26" s="111"/>
    </x:row>
    <x:row r="27">
      <x:c r="A27" s="129" t="str">
        <x:v>S200 / R60</x:v>
      </x:c>
      <x:c r="B27" s="136" t="n">
        <x:v>0.02</x:v>
      </x:c>
      <x:c r="C27" s="136" t="n">
        <x:v>0.6</x:v>
      </x:c>
      <x:c r="D27" s="136" t="n">
        <x:f>IF(C27&lt;1,B27/(1-C27),0)</x:f>
        <x:v>0.049999999999999996</x:v>
      </x:c>
      <x:c r="E27" s="136" t="n">
        <x:f>1-EXP(-D27*'Inputs'!$B$10)</x:f>
        <x:v>0.22119921692859512</x:v>
      </x:c>
      <x:c r="F27" s="136" t="n">
        <x:f>'Inputs'!$B$35/'Inputs'!$B$9*H27+MAX(0,C27-IF('Inputs'!$B$6="REPACK",'Inputs'!$B$21,0))*I27+EXP(-D27*'Inputs'!$B$10)*EXP(-'Inputs'!$B$18*'Inputs'!$B$10)</x:f>
        <x:v>1.0360505921670646</x:v>
      </x:c>
      <x:c r="G27" s="136" t="n">
        <x:f>IF(H27&gt;0,IF('Inputs'!$B$6="CLN",('Inputs'!$B$11-MAX(0,C27-IF('Inputs'!$B$6="REPACK",'Inputs'!$B$21,0))*I27-EXP(-D27*'Inputs'!$B$10)*EXP(-'Inputs'!$B$18*'Inputs'!$B$10))/(H27/'Inputs'!$B$9),('Inputs'!$B$11-'Inputs'!$B$29+'Inputs'!$B$28/'Inputs'!$B$9*H27+C27*I27+EXP(-D27*'Inputs'!$B$10)*EXP(-'Inputs'!$B$18*'Inputs'!$B$10)-MAX(0,C27-IF('Inputs'!$B$6="REPACK",'Inputs'!$B$21,0))*I27-EXP(-D27*'Inputs'!$B$10)*EXP(-'Inputs'!$B$18*'Inputs'!$B$10)-('Inputs'!$B$30+'Inputs'!$B$31)/'Inputs'!$B$9*H27)/(H27/'Inputs'!$B$9)),"")</x:f>
        <x:v>0.06338953973953275</x:v>
      </x:c>
      <x:c r="H27" s="157" t="n">
        <x:f>SUM(IF('Cash Flows'!$B$6="",0,EXP(-D27*'Cash Flows'!$B$6)*EXP(-'Inputs'!$B$18*'Cash Flows'!$B$6)),IF('Cash Flows'!$B$7="",0,EXP(-D27*'Cash Flows'!$B$7)*EXP(-'Inputs'!$B$18*'Cash Flows'!$B$7)),IF('Cash Flows'!$B$8="",0,EXP(-D27*'Cash Flows'!$B$8)*EXP(-'Inputs'!$B$18*'Cash Flows'!$B$8)),IF('Cash Flows'!$B$9="",0,EXP(-D27*'Cash Flows'!$B$9)*EXP(-'Inputs'!$B$18*'Cash Flows'!$B$9)),IF('Cash Flows'!$B$10="",0,EXP(-D27*'Cash Flows'!$B$10)*EXP(-'Inputs'!$B$18*'Cash Flows'!$B$10)),IF('Cash Flows'!$B$11="",0,EXP(-D27*'Cash Flows'!$B$11)*EXP(-'Inputs'!$B$18*'Cash Flows'!$B$11)),IF('Cash Flows'!$B$12="",0,EXP(-D27*'Cash Flows'!$B$12)*EXP(-'Inputs'!$B$18*'Cash Flows'!$B$12)),IF('Cash Flows'!$B$13="",0,EXP(-D27*'Cash Flows'!$B$13)*EXP(-'Inputs'!$B$18*'Cash Flows'!$B$13)),IF('Cash Flows'!$B$14="",0,EXP(-D27*'Cash Flows'!$B$14)*EXP(-'Inputs'!$B$18*'Cash Flows'!$B$14)),IF('Cash Flows'!$B$15="",0,EXP(-D27*'Cash Flows'!$B$15)*EXP(-'Inputs'!$B$18*'Cash Flows'!$B$15)),IF('Cash Flows'!$B$16="",0,EXP(-D27*'Cash Flows'!$B$16)*EXP(-'Inputs'!$B$18*'Cash Flows'!$B$16)),IF('Cash Flows'!$B$17="",0,EXP(-D27*'Cash Flows'!$B$17)*EXP(-'Inputs'!$B$18*'Cash Flows'!$B$17)),IF('Cash Flows'!$B$18="",0,EXP(-D27*'Cash Flows'!$B$18)*EXP(-'Inputs'!$B$18*'Cash Flows'!$B$18)),IF('Cash Flows'!$B$19="",0,EXP(-D27*'Cash Flows'!$B$19)*EXP(-'Inputs'!$B$18*'Cash Flows'!$B$19)),IF('Cash Flows'!$B$20="",0,EXP(-D27*'Cash Flows'!$B$20)*EXP(-'Inputs'!$B$18*'Cash Flows'!$B$20)),IF('Cash Flows'!$B$21="",0,EXP(-D27*'Cash Flows'!$B$21)*EXP(-'Inputs'!$B$18*'Cash Flows'!$B$21)),IF('Cash Flows'!$B$22="",0,EXP(-D27*'Cash Flows'!$B$22)*EXP(-'Inputs'!$B$18*'Cash Flows'!$B$22)),IF('Cash Flows'!$B$23="",0,EXP(-D27*'Cash Flows'!$B$23)*EXP(-'Inputs'!$B$18*'Cash Flows'!$B$23)),IF('Cash Flows'!$B$24="",0,EXP(-D27*'Cash Flows'!$B$24)*EXP(-'Inputs'!$B$18*'Cash Flows'!$B$24)),IF('Cash Flows'!$B$25="",0,EXP(-D27*'Cash Flows'!$B$25)*EXP(-'Inputs'!$B$18*'Cash Flows'!$B$25)),IF('Cash Flows'!$B$26="",0,EXP(-D27*'Cash Flows'!$B$26)*EXP(-'Inputs'!$B$18*'Cash Flows'!$B$26)),IF('Cash Flows'!$B$27="",0,EXP(-D27*'Cash Flows'!$B$27)*EXP(-'Inputs'!$B$18*'Cash Flows'!$B$27)),IF('Cash Flows'!$B$28="",0,EXP(-D27*'Cash Flows'!$B$28)*EXP(-'Inputs'!$B$18*'Cash Flows'!$B$28)),IF('Cash Flows'!$B$29="",0,EXP(-D27*'Cash Flows'!$B$29)*EXP(-'Inputs'!$B$18*'Cash Flows'!$B$29)),IF('Cash Flows'!$B$30="",0,EXP(-D27*'Cash Flows'!$B$30)*EXP(-'Inputs'!$B$18*'Cash Flows'!$B$30)),IF('Cash Flows'!$B$31="",0,EXP(-D27*'Cash Flows'!$B$31)*EXP(-'Inputs'!$B$18*'Cash Flows'!$B$31)),IF('Cash Flows'!$B$32="",0,EXP(-D27*'Cash Flows'!$B$32)*EXP(-'Inputs'!$B$18*'Cash Flows'!$B$32)),IF('Cash Flows'!$B$33="",0,EXP(-D27*'Cash Flows'!$B$33)*EXP(-'Inputs'!$B$18*'Cash Flows'!$B$33)),IF('Cash Flows'!$B$34="",0,EXP(-D27*'Cash Flows'!$B$34)*EXP(-'Inputs'!$B$18*'Cash Flows'!$B$34)),IF('Cash Flows'!$B$35="",0,EXP(-D27*'Cash Flows'!$B$35)*EXP(-'Inputs'!$B$18*'Cash Flows'!$B$35)),IF('Cash Flows'!$B$36="",0,EXP(-D27*'Cash Flows'!$B$36)*EXP(-'Inputs'!$B$18*'Cash Flows'!$B$36)),IF('Cash Flows'!$B$37="",0,EXP(-D27*'Cash Flows'!$B$37)*EXP(-'Inputs'!$B$18*'Cash Flows'!$B$37)),IF('Cash Flows'!$B$38="",0,EXP(-D27*'Cash Flows'!$B$38)*EXP(-'Inputs'!$B$18*'Cash Flows'!$B$38)),IF('Cash Flows'!$B$39="",0,EXP(-D27*'Cash Flows'!$B$39)*EXP(-'Inputs'!$B$18*'Cash Flows'!$B$39)),IF('Cash Flows'!$B$40="",0,EXP(-D27*'Cash Flows'!$B$40)*EXP(-'Inputs'!$B$18*'Cash Flows'!$B$40)),IF('Cash Flows'!$B$41="",0,EXP(-D27*'Cash Flows'!$B$41)*EXP(-'Inputs'!$B$18*'Cash Flows'!$B$41)),IF('Cash Flows'!$B$42="",0,EXP(-D27*'Cash Flows'!$B$42)*EXP(-'Inputs'!$B$18*'Cash Flows'!$B$42)),IF('Cash Flows'!$B$43="",0,EXP(-D27*'Cash Flows'!$B$43)*EXP(-'Inputs'!$B$18*'Cash Flows'!$B$43)),IF('Cash Flows'!$B$44="",0,EXP(-D27*'Cash Flows'!$B$44)*EXP(-'Inputs'!$B$18*'Cash Flows'!$B$44)),IF('Cash Flows'!$B$45="",0,EXP(-D27*'Cash Flows'!$B$45)*EXP(-'Inputs'!$B$18*'Cash Flows'!$B$45)))</x:f>
        <x:v>15.828219930225917</x:v>
      </x:c>
      <x:c r="I27" s="158" t="n">
        <x:f>SUM(IF('Cash Flows'!$B$6="",0,(EXP(-D27*'Cash Flows'!$C$6)-EXP(-D27*'Cash Flows'!$B$6))*EXP(-'Inputs'!$B$18*'Cash Flows'!$B$6)),IF('Cash Flows'!$B$7="",0,(EXP(-D27*'Cash Flows'!$C$7)-EXP(-D27*'Cash Flows'!$B$7))*EXP(-'Inputs'!$B$18*'Cash Flows'!$B$7)),IF('Cash Flows'!$B$8="",0,(EXP(-D27*'Cash Flows'!$C$8)-EXP(-D27*'Cash Flows'!$B$8))*EXP(-'Inputs'!$B$18*'Cash Flows'!$B$8)),IF('Cash Flows'!$B$9="",0,(EXP(-D27*'Cash Flows'!$C$9)-EXP(-D27*'Cash Flows'!$B$9))*EXP(-'Inputs'!$B$18*'Cash Flows'!$B$9)),IF('Cash Flows'!$B$10="",0,(EXP(-D27*'Cash Flows'!$C$10)-EXP(-D27*'Cash Flows'!$B$10))*EXP(-'Inputs'!$B$18*'Cash Flows'!$B$10)),IF('Cash Flows'!$B$11="",0,(EXP(-D27*'Cash Flows'!$C$11)-EXP(-D27*'Cash Flows'!$B$11))*EXP(-'Inputs'!$B$18*'Cash Flows'!$B$11)),IF('Cash Flows'!$B$12="",0,(EXP(-D27*'Cash Flows'!$C$12)-EXP(-D27*'Cash Flows'!$B$12))*EXP(-'Inputs'!$B$18*'Cash Flows'!$B$12)),IF('Cash Flows'!$B$13="",0,(EXP(-D27*'Cash Flows'!$C$13)-EXP(-D27*'Cash Flows'!$B$13))*EXP(-'Inputs'!$B$18*'Cash Flows'!$B$13)),IF('Cash Flows'!$B$14="",0,(EXP(-D27*'Cash Flows'!$C$14)-EXP(-D27*'Cash Flows'!$B$14))*EXP(-'Inputs'!$B$18*'Cash Flows'!$B$14)),IF('Cash Flows'!$B$15="",0,(EXP(-D27*'Cash Flows'!$C$15)-EXP(-D27*'Cash Flows'!$B$15))*EXP(-'Inputs'!$B$18*'Cash Flows'!$B$15)),IF('Cash Flows'!$B$16="",0,(EXP(-D27*'Cash Flows'!$C$16)-EXP(-D27*'Cash Flows'!$B$16))*EXP(-'Inputs'!$B$18*'Cash Flows'!$B$16)),IF('Cash Flows'!$B$17="",0,(EXP(-D27*'Cash Flows'!$C$17)-EXP(-D27*'Cash Flows'!$B$17))*EXP(-'Inputs'!$B$18*'Cash Flows'!$B$17)),IF('Cash Flows'!$B$18="",0,(EXP(-D27*'Cash Flows'!$C$18)-EXP(-D27*'Cash Flows'!$B$18))*EXP(-'Inputs'!$B$18*'Cash Flows'!$B$18)),IF('Cash Flows'!$B$19="",0,(EXP(-D27*'Cash Flows'!$C$19)-EXP(-D27*'Cash Flows'!$B$19))*EXP(-'Inputs'!$B$18*'Cash Flows'!$B$19)),IF('Cash Flows'!$B$20="",0,(EXP(-D27*'Cash Flows'!$C$20)-EXP(-D27*'Cash Flows'!$B$20))*EXP(-'Inputs'!$B$18*'Cash Flows'!$B$20)),IF('Cash Flows'!$B$21="",0,(EXP(-D27*'Cash Flows'!$C$21)-EXP(-D27*'Cash Flows'!$B$21))*EXP(-'Inputs'!$B$18*'Cash Flows'!$B$21)),IF('Cash Flows'!$B$22="",0,(EXP(-D27*'Cash Flows'!$C$22)-EXP(-D27*'Cash Flows'!$B$22))*EXP(-'Inputs'!$B$18*'Cash Flows'!$B$22)),IF('Cash Flows'!$B$23="",0,(EXP(-D27*'Cash Flows'!$C$23)-EXP(-D27*'Cash Flows'!$B$23))*EXP(-'Inputs'!$B$18*'Cash Flows'!$B$23)),IF('Cash Flows'!$B$24="",0,(EXP(-D27*'Cash Flows'!$C$24)-EXP(-D27*'Cash Flows'!$B$24))*EXP(-'Inputs'!$B$18*'Cash Flows'!$B$24)),IF('Cash Flows'!$B$25="",0,(EXP(-D27*'Cash Flows'!$C$25)-EXP(-D27*'Cash Flows'!$B$25))*EXP(-'Inputs'!$B$18*'Cash Flows'!$B$25)),IF('Cash Flows'!$B$26="",0,(EXP(-D27*'Cash Flows'!$C$26)-EXP(-D27*'Cash Flows'!$B$26))*EXP(-'Inputs'!$B$18*'Cash Flows'!$B$26)),IF('Cash Flows'!$B$27="",0,(EXP(-D27*'Cash Flows'!$C$27)-EXP(-D27*'Cash Flows'!$B$27))*EXP(-'Inputs'!$B$18*'Cash Flows'!$B$27)),IF('Cash Flows'!$B$28="",0,(EXP(-D27*'Cash Flows'!$C$28)-EXP(-D27*'Cash Flows'!$B$28))*EXP(-'Inputs'!$B$18*'Cash Flows'!$B$28)),IF('Cash Flows'!$B$29="",0,(EXP(-D27*'Cash Flows'!$C$29)-EXP(-D27*'Cash Flows'!$B$29))*EXP(-'Inputs'!$B$18*'Cash Flows'!$B$29)),IF('Cash Flows'!$B$30="",0,(EXP(-D27*'Cash Flows'!$C$30)-EXP(-D27*'Cash Flows'!$B$30))*EXP(-'Inputs'!$B$18*'Cash Flows'!$B$30)),IF('Cash Flows'!$B$31="",0,(EXP(-D27*'Cash Flows'!$C$31)-EXP(-D27*'Cash Flows'!$B$31))*EXP(-'Inputs'!$B$18*'Cash Flows'!$B$31)),IF('Cash Flows'!$B$32="",0,(EXP(-D27*'Cash Flows'!$C$32)-EXP(-D27*'Cash Flows'!$B$32))*EXP(-'Inputs'!$B$18*'Cash Flows'!$B$32)),IF('Cash Flows'!$B$33="",0,(EXP(-D27*'Cash Flows'!$C$33)-EXP(-D27*'Cash Flows'!$B$33))*EXP(-'Inputs'!$B$18*'Cash Flows'!$B$33)),IF('Cash Flows'!$B$34="",0,(EXP(-D27*'Cash Flows'!$C$34)-EXP(-D27*'Cash Flows'!$B$34))*EXP(-'Inputs'!$B$18*'Cash Flows'!$B$34)),IF('Cash Flows'!$B$35="",0,(EXP(-D27*'Cash Flows'!$C$35)-EXP(-D27*'Cash Flows'!$B$35))*EXP(-'Inputs'!$B$18*'Cash Flows'!$B$35)),IF('Cash Flows'!$B$36="",0,(EXP(-D27*'Cash Flows'!$C$36)-EXP(-D27*'Cash Flows'!$B$36))*EXP(-'Inputs'!$B$18*'Cash Flows'!$B$36)),IF('Cash Flows'!$B$37="",0,(EXP(-D27*'Cash Flows'!$C$37)-EXP(-D27*'Cash Flows'!$B$37))*EXP(-'Inputs'!$B$18*'Cash Flows'!$B$37)),IF('Cash Flows'!$B$38="",0,(EXP(-D27*'Cash Flows'!$C$38)-EXP(-D27*'Cash Flows'!$B$38))*EXP(-'Inputs'!$B$18*'Cash Flows'!$B$38)),IF('Cash Flows'!$B$39="",0,(EXP(-D27*'Cash Flows'!$C$39)-EXP(-D27*'Cash Flows'!$B$39))*EXP(-'Inputs'!$B$18*'Cash Flows'!$B$39)),IF('Cash Flows'!$B$40="",0,(EXP(-D27*'Cash Flows'!$C$40)-EXP(-D27*'Cash Flows'!$B$40))*EXP(-'Inputs'!$B$18*'Cash Flows'!$B$40)),IF('Cash Flows'!$B$41="",0,(EXP(-D27*'Cash Flows'!$C$41)-EXP(-D27*'Cash Flows'!$B$41))*EXP(-'Inputs'!$B$18*'Cash Flows'!$B$41)),IF('Cash Flows'!$B$42="",0,(EXP(-D27*'Cash Flows'!$C$42)-EXP(-D27*'Cash Flows'!$B$42))*EXP(-'Inputs'!$B$18*'Cash Flows'!$B$42)),IF('Cash Flows'!$B$43="",0,(EXP(-D27*'Cash Flows'!$C$43)-EXP(-D27*'Cash Flows'!$B$43))*EXP(-'Inputs'!$B$18*'Cash Flows'!$B$43)),IF('Cash Flows'!$B$44="",0,(EXP(-D27*'Cash Flows'!$C$44)-EXP(-D27*'Cash Flows'!$B$44))*EXP(-'Inputs'!$B$18*'Cash Flows'!$B$44)),IF('Cash Flows'!$B$45="",0,(EXP(-D27*'Cash Flows'!$C$45)-EXP(-D27*'Cash Flows'!$B$45))*EXP(-'Inputs'!$B$18*'Cash Flows'!$B$45)))</x:f>
        <x:v>0.19909449736684987</x:v>
      </x:c>
      <x:c r="J27" s="111"/>
      <x:c r="K27" s="111"/>
      <x:c r="L27" s="111"/>
      <x:c r="M27" s="111"/>
      <x:c r="N27" s="111"/>
      <x:c r="O27" s="111"/>
    </x:row>
    <x:row r="28">
      <x:c r="A28" s="129" t="str">
        <x:v>S300 / R60</x:v>
      </x:c>
      <x:c r="B28" s="136" t="n">
        <x:v>0.03</x:v>
      </x:c>
      <x:c r="C28" s="136" t="n">
        <x:v>0.6</x:v>
      </x:c>
      <x:c r="D28" s="136" t="n">
        <x:f>IF(C28&lt;1,B28/(1-C28),0)</x:f>
        <x:v>0.075</x:v>
      </x:c>
      <x:c r="E28" s="136" t="n">
        <x:f>1-EXP(-D28*'Inputs'!$B$10)</x:f>
        <x:v>0.3127107212090279</x:v>
      </x:c>
      <x:c r="F28" s="136" t="n">
        <x:f>'Inputs'!$B$35/'Inputs'!$B$9*H28+MAX(0,C28-IF('Inputs'!$B$6="REPACK",'Inputs'!$B$21,0))*I28+EXP(-D28*'Inputs'!$B$10)*EXP(-'Inputs'!$B$18*'Inputs'!$B$10)</x:f>
        <x:v>0.99508823739813</x:v>
      </x:c>
      <x:c r="G28" s="136" t="n">
        <x:f>IF(H28&gt;0,IF('Inputs'!$B$6="CLN",('Inputs'!$B$11-MAX(0,C28-IF('Inputs'!$B$6="REPACK",'Inputs'!$B$21,0))*I28-EXP(-D28*'Inputs'!$B$10)*EXP(-'Inputs'!$B$18*'Inputs'!$B$10))/(H28/'Inputs'!$B$9),('Inputs'!$B$11-'Inputs'!$B$29+'Inputs'!$B$28/'Inputs'!$B$9*H28+C28*I28+EXP(-D28*'Inputs'!$B$10)*EXP(-'Inputs'!$B$18*'Inputs'!$B$10)-MAX(0,C28-IF('Inputs'!$B$6="REPACK",'Inputs'!$B$21,0))*I28-EXP(-D28*'Inputs'!$B$10)*EXP(-'Inputs'!$B$18*'Inputs'!$B$10)-('Inputs'!$B$30+'Inputs'!$B$31)/'Inputs'!$B$9*H28)/(H28/'Inputs'!$B$9)),"")</x:f>
        <x:v>0.07381828022923434</x:v>
      </x:c>
      <x:c r="H28" s="157" t="n">
        <x:f>SUM(IF('Cash Flows'!$B$6="",0,EXP(-D28*'Cash Flows'!$B$6)*EXP(-'Inputs'!$B$18*'Cash Flows'!$B$6)),IF('Cash Flows'!$B$7="",0,EXP(-D28*'Cash Flows'!$B$7)*EXP(-'Inputs'!$B$18*'Cash Flows'!$B$7)),IF('Cash Flows'!$B$8="",0,EXP(-D28*'Cash Flows'!$B$8)*EXP(-'Inputs'!$B$18*'Cash Flows'!$B$8)),IF('Cash Flows'!$B$9="",0,EXP(-D28*'Cash Flows'!$B$9)*EXP(-'Inputs'!$B$18*'Cash Flows'!$B$9)),IF('Cash Flows'!$B$10="",0,EXP(-D28*'Cash Flows'!$B$10)*EXP(-'Inputs'!$B$18*'Cash Flows'!$B$10)),IF('Cash Flows'!$B$11="",0,EXP(-D28*'Cash Flows'!$B$11)*EXP(-'Inputs'!$B$18*'Cash Flows'!$B$11)),IF('Cash Flows'!$B$12="",0,EXP(-D28*'Cash Flows'!$B$12)*EXP(-'Inputs'!$B$18*'Cash Flows'!$B$12)),IF('Cash Flows'!$B$13="",0,EXP(-D28*'Cash Flows'!$B$13)*EXP(-'Inputs'!$B$18*'Cash Flows'!$B$13)),IF('Cash Flows'!$B$14="",0,EXP(-D28*'Cash Flows'!$B$14)*EXP(-'Inputs'!$B$18*'Cash Flows'!$B$14)),IF('Cash Flows'!$B$15="",0,EXP(-D28*'Cash Flows'!$B$15)*EXP(-'Inputs'!$B$18*'Cash Flows'!$B$15)),IF('Cash Flows'!$B$16="",0,EXP(-D28*'Cash Flows'!$B$16)*EXP(-'Inputs'!$B$18*'Cash Flows'!$B$16)),IF('Cash Flows'!$B$17="",0,EXP(-D28*'Cash Flows'!$B$17)*EXP(-'Inputs'!$B$18*'Cash Flows'!$B$17)),IF('Cash Flows'!$B$18="",0,EXP(-D28*'Cash Flows'!$B$18)*EXP(-'Inputs'!$B$18*'Cash Flows'!$B$18)),IF('Cash Flows'!$B$19="",0,EXP(-D28*'Cash Flows'!$B$19)*EXP(-'Inputs'!$B$18*'Cash Flows'!$B$19)),IF('Cash Flows'!$B$20="",0,EXP(-D28*'Cash Flows'!$B$20)*EXP(-'Inputs'!$B$18*'Cash Flows'!$B$20)),IF('Cash Flows'!$B$21="",0,EXP(-D28*'Cash Flows'!$B$21)*EXP(-'Inputs'!$B$18*'Cash Flows'!$B$21)),IF('Cash Flows'!$B$22="",0,EXP(-D28*'Cash Flows'!$B$22)*EXP(-'Inputs'!$B$18*'Cash Flows'!$B$22)),IF('Cash Flows'!$B$23="",0,EXP(-D28*'Cash Flows'!$B$23)*EXP(-'Inputs'!$B$18*'Cash Flows'!$B$23)),IF('Cash Flows'!$B$24="",0,EXP(-D28*'Cash Flows'!$B$24)*EXP(-'Inputs'!$B$18*'Cash Flows'!$B$24)),IF('Cash Flows'!$B$25="",0,EXP(-D28*'Cash Flows'!$B$25)*EXP(-'Inputs'!$B$18*'Cash Flows'!$B$25)),IF('Cash Flows'!$B$26="",0,EXP(-D28*'Cash Flows'!$B$26)*EXP(-'Inputs'!$B$18*'Cash Flows'!$B$26)),IF('Cash Flows'!$B$27="",0,EXP(-D28*'Cash Flows'!$B$27)*EXP(-'Inputs'!$B$18*'Cash Flows'!$B$27)),IF('Cash Flows'!$B$28="",0,EXP(-D28*'Cash Flows'!$B$28)*EXP(-'Inputs'!$B$18*'Cash Flows'!$B$28)),IF('Cash Flows'!$B$29="",0,EXP(-D28*'Cash Flows'!$B$29)*EXP(-'Inputs'!$B$18*'Cash Flows'!$B$29)),IF('Cash Flows'!$B$30="",0,EXP(-D28*'Cash Flows'!$B$30)*EXP(-'Inputs'!$B$18*'Cash Flows'!$B$30)),IF('Cash Flows'!$B$31="",0,EXP(-D28*'Cash Flows'!$B$31)*EXP(-'Inputs'!$B$18*'Cash Flows'!$B$31)),IF('Cash Flows'!$B$32="",0,EXP(-D28*'Cash Flows'!$B$32)*EXP(-'Inputs'!$B$18*'Cash Flows'!$B$32)),IF('Cash Flows'!$B$33="",0,EXP(-D28*'Cash Flows'!$B$33)*EXP(-'Inputs'!$B$18*'Cash Flows'!$B$33)),IF('Cash Flows'!$B$34="",0,EXP(-D28*'Cash Flows'!$B$34)*EXP(-'Inputs'!$B$18*'Cash Flows'!$B$34)),IF('Cash Flows'!$B$35="",0,EXP(-D28*'Cash Flows'!$B$35)*EXP(-'Inputs'!$B$18*'Cash Flows'!$B$35)),IF('Cash Flows'!$B$36="",0,EXP(-D28*'Cash Flows'!$B$36)*EXP(-'Inputs'!$B$18*'Cash Flows'!$B$36)),IF('Cash Flows'!$B$37="",0,EXP(-D28*'Cash Flows'!$B$37)*EXP(-'Inputs'!$B$18*'Cash Flows'!$B$37)),IF('Cash Flows'!$B$38="",0,EXP(-D28*'Cash Flows'!$B$38)*EXP(-'Inputs'!$B$18*'Cash Flows'!$B$38)),IF('Cash Flows'!$B$39="",0,EXP(-D28*'Cash Flows'!$B$39)*EXP(-'Inputs'!$B$18*'Cash Flows'!$B$39)),IF('Cash Flows'!$B$40="",0,EXP(-D28*'Cash Flows'!$B$40)*EXP(-'Inputs'!$B$18*'Cash Flows'!$B$40)),IF('Cash Flows'!$B$41="",0,EXP(-D28*'Cash Flows'!$B$41)*EXP(-'Inputs'!$B$18*'Cash Flows'!$B$41)),IF('Cash Flows'!$B$42="",0,EXP(-D28*'Cash Flows'!$B$42)*EXP(-'Inputs'!$B$18*'Cash Flows'!$B$42)),IF('Cash Flows'!$B$43="",0,EXP(-D28*'Cash Flows'!$B$43)*EXP(-'Inputs'!$B$18*'Cash Flows'!$B$43)),IF('Cash Flows'!$B$44="",0,EXP(-D28*'Cash Flows'!$B$44)*EXP(-'Inputs'!$B$18*'Cash Flows'!$B$44)),IF('Cash Flows'!$B$45="",0,EXP(-D28*'Cash Flows'!$B$45)*EXP(-'Inputs'!$B$18*'Cash Flows'!$B$45)))</x:f>
        <x:v>14.90354628081716</x:v>
      </x:c>
      <x:c r="I28" s="158" t="n">
        <x:f>SUM(IF('Cash Flows'!$B$6="",0,(EXP(-D28*'Cash Flows'!$C$6)-EXP(-D28*'Cash Flows'!$B$6))*EXP(-'Inputs'!$B$18*'Cash Flows'!$B$6)),IF('Cash Flows'!$B$7="",0,(EXP(-D28*'Cash Flows'!$C$7)-EXP(-D28*'Cash Flows'!$B$7))*EXP(-'Inputs'!$B$18*'Cash Flows'!$B$7)),IF('Cash Flows'!$B$8="",0,(EXP(-D28*'Cash Flows'!$C$8)-EXP(-D28*'Cash Flows'!$B$8))*EXP(-'Inputs'!$B$18*'Cash Flows'!$B$8)),IF('Cash Flows'!$B$9="",0,(EXP(-D28*'Cash Flows'!$C$9)-EXP(-D28*'Cash Flows'!$B$9))*EXP(-'Inputs'!$B$18*'Cash Flows'!$B$9)),IF('Cash Flows'!$B$10="",0,(EXP(-D28*'Cash Flows'!$C$10)-EXP(-D28*'Cash Flows'!$B$10))*EXP(-'Inputs'!$B$18*'Cash Flows'!$B$10)),IF('Cash Flows'!$B$11="",0,(EXP(-D28*'Cash Flows'!$C$11)-EXP(-D28*'Cash Flows'!$B$11))*EXP(-'Inputs'!$B$18*'Cash Flows'!$B$11)),IF('Cash Flows'!$B$12="",0,(EXP(-D28*'Cash Flows'!$C$12)-EXP(-D28*'Cash Flows'!$B$12))*EXP(-'Inputs'!$B$18*'Cash Flows'!$B$12)),IF('Cash Flows'!$B$13="",0,(EXP(-D28*'Cash Flows'!$C$13)-EXP(-D28*'Cash Flows'!$B$13))*EXP(-'Inputs'!$B$18*'Cash Flows'!$B$13)),IF('Cash Flows'!$B$14="",0,(EXP(-D28*'Cash Flows'!$C$14)-EXP(-D28*'Cash Flows'!$B$14))*EXP(-'Inputs'!$B$18*'Cash Flows'!$B$14)),IF('Cash Flows'!$B$15="",0,(EXP(-D28*'Cash Flows'!$C$15)-EXP(-D28*'Cash Flows'!$B$15))*EXP(-'Inputs'!$B$18*'Cash Flows'!$B$15)),IF('Cash Flows'!$B$16="",0,(EXP(-D28*'Cash Flows'!$C$16)-EXP(-D28*'Cash Flows'!$B$16))*EXP(-'Inputs'!$B$18*'Cash Flows'!$B$16)),IF('Cash Flows'!$B$17="",0,(EXP(-D28*'Cash Flows'!$C$17)-EXP(-D28*'Cash Flows'!$B$17))*EXP(-'Inputs'!$B$18*'Cash Flows'!$B$17)),IF('Cash Flows'!$B$18="",0,(EXP(-D28*'Cash Flows'!$C$18)-EXP(-D28*'Cash Flows'!$B$18))*EXP(-'Inputs'!$B$18*'Cash Flows'!$B$18)),IF('Cash Flows'!$B$19="",0,(EXP(-D28*'Cash Flows'!$C$19)-EXP(-D28*'Cash Flows'!$B$19))*EXP(-'Inputs'!$B$18*'Cash Flows'!$B$19)),IF('Cash Flows'!$B$20="",0,(EXP(-D28*'Cash Flows'!$C$20)-EXP(-D28*'Cash Flows'!$B$20))*EXP(-'Inputs'!$B$18*'Cash Flows'!$B$20)),IF('Cash Flows'!$B$21="",0,(EXP(-D28*'Cash Flows'!$C$21)-EXP(-D28*'Cash Flows'!$B$21))*EXP(-'Inputs'!$B$18*'Cash Flows'!$B$21)),IF('Cash Flows'!$B$22="",0,(EXP(-D28*'Cash Flows'!$C$22)-EXP(-D28*'Cash Flows'!$B$22))*EXP(-'Inputs'!$B$18*'Cash Flows'!$B$22)),IF('Cash Flows'!$B$23="",0,(EXP(-D28*'Cash Flows'!$C$23)-EXP(-D28*'Cash Flows'!$B$23))*EXP(-'Inputs'!$B$18*'Cash Flows'!$B$23)),IF('Cash Flows'!$B$24="",0,(EXP(-D28*'Cash Flows'!$C$24)-EXP(-D28*'Cash Flows'!$B$24))*EXP(-'Inputs'!$B$18*'Cash Flows'!$B$24)),IF('Cash Flows'!$B$25="",0,(EXP(-D28*'Cash Flows'!$C$25)-EXP(-D28*'Cash Flows'!$B$25))*EXP(-'Inputs'!$B$18*'Cash Flows'!$B$25)),IF('Cash Flows'!$B$26="",0,(EXP(-D28*'Cash Flows'!$C$26)-EXP(-D28*'Cash Flows'!$B$26))*EXP(-'Inputs'!$B$18*'Cash Flows'!$B$26)),IF('Cash Flows'!$B$27="",0,(EXP(-D28*'Cash Flows'!$C$27)-EXP(-D28*'Cash Flows'!$B$27))*EXP(-'Inputs'!$B$18*'Cash Flows'!$B$27)),IF('Cash Flows'!$B$28="",0,(EXP(-D28*'Cash Flows'!$C$28)-EXP(-D28*'Cash Flows'!$B$28))*EXP(-'Inputs'!$B$18*'Cash Flows'!$B$28)),IF('Cash Flows'!$B$29="",0,(EXP(-D28*'Cash Flows'!$C$29)-EXP(-D28*'Cash Flows'!$B$29))*EXP(-'Inputs'!$B$18*'Cash Flows'!$B$29)),IF('Cash Flows'!$B$30="",0,(EXP(-D28*'Cash Flows'!$C$30)-EXP(-D28*'Cash Flows'!$B$30))*EXP(-'Inputs'!$B$18*'Cash Flows'!$B$30)),IF('Cash Flows'!$B$31="",0,(EXP(-D28*'Cash Flows'!$C$31)-EXP(-D28*'Cash Flows'!$B$31))*EXP(-'Inputs'!$B$18*'Cash Flows'!$B$31)),IF('Cash Flows'!$B$32="",0,(EXP(-D28*'Cash Flows'!$C$32)-EXP(-D28*'Cash Flows'!$B$32))*EXP(-'Inputs'!$B$18*'Cash Flows'!$B$32)),IF('Cash Flows'!$B$33="",0,(EXP(-D28*'Cash Flows'!$C$33)-EXP(-D28*'Cash Flows'!$B$33))*EXP(-'Inputs'!$B$18*'Cash Flows'!$B$33)),IF('Cash Flows'!$B$34="",0,(EXP(-D28*'Cash Flows'!$C$34)-EXP(-D28*'Cash Flows'!$B$34))*EXP(-'Inputs'!$B$18*'Cash Flows'!$B$34)),IF('Cash Flows'!$B$35="",0,(EXP(-D28*'Cash Flows'!$C$35)-EXP(-D28*'Cash Flows'!$B$35))*EXP(-'Inputs'!$B$18*'Cash Flows'!$B$35)),IF('Cash Flows'!$B$36="",0,(EXP(-D28*'Cash Flows'!$C$36)-EXP(-D28*'Cash Flows'!$B$36))*EXP(-'Inputs'!$B$18*'Cash Flows'!$B$36)),IF('Cash Flows'!$B$37="",0,(EXP(-D28*'Cash Flows'!$C$37)-EXP(-D28*'Cash Flows'!$B$37))*EXP(-'Inputs'!$B$18*'Cash Flows'!$B$37)),IF('Cash Flows'!$B$38="",0,(EXP(-D28*'Cash Flows'!$C$38)-EXP(-D28*'Cash Flows'!$B$38))*EXP(-'Inputs'!$B$18*'Cash Flows'!$B$38)),IF('Cash Flows'!$B$39="",0,(EXP(-D28*'Cash Flows'!$C$39)-EXP(-D28*'Cash Flows'!$B$39))*EXP(-'Inputs'!$B$18*'Cash Flows'!$B$39)),IF('Cash Flows'!$B$40="",0,(EXP(-D28*'Cash Flows'!$C$40)-EXP(-D28*'Cash Flows'!$B$40))*EXP(-'Inputs'!$B$18*'Cash Flows'!$B$40)),IF('Cash Flows'!$B$41="",0,(EXP(-D28*'Cash Flows'!$C$41)-EXP(-D28*'Cash Flows'!$B$41))*EXP(-'Inputs'!$B$18*'Cash Flows'!$B$41)),IF('Cash Flows'!$B$42="",0,(EXP(-D28*'Cash Flows'!$C$42)-EXP(-D28*'Cash Flows'!$B$42))*EXP(-'Inputs'!$B$18*'Cash Flows'!$B$42)),IF('Cash Flows'!$B$43="",0,(EXP(-D28*'Cash Flows'!$C$43)-EXP(-D28*'Cash Flows'!$B$43))*EXP(-'Inputs'!$B$18*'Cash Flows'!$B$43)),IF('Cash Flows'!$B$44="",0,(EXP(-D28*'Cash Flows'!$C$44)-EXP(-D28*'Cash Flows'!$B$44))*EXP(-'Inputs'!$B$18*'Cash Flows'!$B$44)),IF('Cash Flows'!$B$45="",0,(EXP(-D28*'Cash Flows'!$C$45)-EXP(-D28*'Cash Flows'!$B$45))*EXP(-'Inputs'!$B$18*'Cash Flows'!$B$45)))</x:f>
        <x:v>0.2820777073245793</x:v>
      </x:c>
      <x:c r="J28" s="111"/>
      <x:c r="K28" s="111"/>
      <x:c r="L28" s="111"/>
      <x:c r="M28" s="111"/>
      <x:c r="N28" s="111"/>
      <x:c r="O28" s="111"/>
    </x:row>
    <x:row r="29">
      <x:c r="A29" s="129" t="str">
        <x:v>S400 / R60</x:v>
      </x:c>
      <x:c r="B29" s="136" t="n">
        <x:v>0.04</x:v>
      </x:c>
      <x:c r="C29" s="136" t="n">
        <x:v>0.6</x:v>
      </x:c>
      <x:c r="D29" s="136" t="n">
        <x:f>IF(C29&lt;1,B29/(1-C29),0)</x:f>
        <x:v>0.09999999999999999</x:v>
      </x:c>
      <x:c r="E29" s="136" t="n">
        <x:f>1-EXP(-D29*'Inputs'!$B$10)</x:f>
        <x:v>0.3934693402873666</x:v>
      </x:c>
      <x:c r="F29" s="136" t="n">
        <x:f>'Inputs'!$B$35/'Inputs'!$B$9*H29+MAX(0,C29-IF('Inputs'!$B$6="REPACK",'Inputs'!$B$21,0))*I29+EXP(-D29*'Inputs'!$B$10)*EXP(-'Inputs'!$B$18*'Inputs'!$B$10)</x:f>
        <x:v>0.9585065198351298</x:v>
      </x:c>
      <x:c r="G29" s="136" t="n">
        <x:f>IF(H29&gt;0,IF('Inputs'!$B$6="CLN",('Inputs'!$B$11-MAX(0,C29-IF('Inputs'!$B$6="REPACK",'Inputs'!$B$21,0))*I29-EXP(-D29*'Inputs'!$B$10)*EXP(-'Inputs'!$B$18*'Inputs'!$B$10))/(H29/'Inputs'!$B$9),('Inputs'!$B$11-'Inputs'!$B$29+'Inputs'!$B$28/'Inputs'!$B$9*H29+C29*I29+EXP(-D29*'Inputs'!$B$10)*EXP(-'Inputs'!$B$18*'Inputs'!$B$10)-MAX(0,C29-IF('Inputs'!$B$6="REPACK",'Inputs'!$B$21,0))*I29-EXP(-D29*'Inputs'!$B$10)*EXP(-'Inputs'!$B$18*'Inputs'!$B$10)-('Inputs'!$B$30+'Inputs'!$B$31)/'Inputs'!$B$9*H29)/(H29/'Inputs'!$B$9)),"")</x:f>
        <x:v>0.08431240445834462</x:v>
      </x:c>
      <x:c r="H29" s="157" t="n">
        <x:f>SUM(IF('Cash Flows'!$B$6="",0,EXP(-D29*'Cash Flows'!$B$6)*EXP(-'Inputs'!$B$18*'Cash Flows'!$B$6)),IF('Cash Flows'!$B$7="",0,EXP(-D29*'Cash Flows'!$B$7)*EXP(-'Inputs'!$B$18*'Cash Flows'!$B$7)),IF('Cash Flows'!$B$8="",0,EXP(-D29*'Cash Flows'!$B$8)*EXP(-'Inputs'!$B$18*'Cash Flows'!$B$8)),IF('Cash Flows'!$B$9="",0,EXP(-D29*'Cash Flows'!$B$9)*EXP(-'Inputs'!$B$18*'Cash Flows'!$B$9)),IF('Cash Flows'!$B$10="",0,EXP(-D29*'Cash Flows'!$B$10)*EXP(-'Inputs'!$B$18*'Cash Flows'!$B$10)),IF('Cash Flows'!$B$11="",0,EXP(-D29*'Cash Flows'!$B$11)*EXP(-'Inputs'!$B$18*'Cash Flows'!$B$11)),IF('Cash Flows'!$B$12="",0,EXP(-D29*'Cash Flows'!$B$12)*EXP(-'Inputs'!$B$18*'Cash Flows'!$B$12)),IF('Cash Flows'!$B$13="",0,EXP(-D29*'Cash Flows'!$B$13)*EXP(-'Inputs'!$B$18*'Cash Flows'!$B$13)),IF('Cash Flows'!$B$14="",0,EXP(-D29*'Cash Flows'!$B$14)*EXP(-'Inputs'!$B$18*'Cash Flows'!$B$14)),IF('Cash Flows'!$B$15="",0,EXP(-D29*'Cash Flows'!$B$15)*EXP(-'Inputs'!$B$18*'Cash Flows'!$B$15)),IF('Cash Flows'!$B$16="",0,EXP(-D29*'Cash Flows'!$B$16)*EXP(-'Inputs'!$B$18*'Cash Flows'!$B$16)),IF('Cash Flows'!$B$17="",0,EXP(-D29*'Cash Flows'!$B$17)*EXP(-'Inputs'!$B$18*'Cash Flows'!$B$17)),IF('Cash Flows'!$B$18="",0,EXP(-D29*'Cash Flows'!$B$18)*EXP(-'Inputs'!$B$18*'Cash Flows'!$B$18)),IF('Cash Flows'!$B$19="",0,EXP(-D29*'Cash Flows'!$B$19)*EXP(-'Inputs'!$B$18*'Cash Flows'!$B$19)),IF('Cash Flows'!$B$20="",0,EXP(-D29*'Cash Flows'!$B$20)*EXP(-'Inputs'!$B$18*'Cash Flows'!$B$20)),IF('Cash Flows'!$B$21="",0,EXP(-D29*'Cash Flows'!$B$21)*EXP(-'Inputs'!$B$18*'Cash Flows'!$B$21)),IF('Cash Flows'!$B$22="",0,EXP(-D29*'Cash Flows'!$B$22)*EXP(-'Inputs'!$B$18*'Cash Flows'!$B$22)),IF('Cash Flows'!$B$23="",0,EXP(-D29*'Cash Flows'!$B$23)*EXP(-'Inputs'!$B$18*'Cash Flows'!$B$23)),IF('Cash Flows'!$B$24="",0,EXP(-D29*'Cash Flows'!$B$24)*EXP(-'Inputs'!$B$18*'Cash Flows'!$B$24)),IF('Cash Flows'!$B$25="",0,EXP(-D29*'Cash Flows'!$B$25)*EXP(-'Inputs'!$B$18*'Cash Flows'!$B$25)),IF('Cash Flows'!$B$26="",0,EXP(-D29*'Cash Flows'!$B$26)*EXP(-'Inputs'!$B$18*'Cash Flows'!$B$26)),IF('Cash Flows'!$B$27="",0,EXP(-D29*'Cash Flows'!$B$27)*EXP(-'Inputs'!$B$18*'Cash Flows'!$B$27)),IF('Cash Flows'!$B$28="",0,EXP(-D29*'Cash Flows'!$B$28)*EXP(-'Inputs'!$B$18*'Cash Flows'!$B$28)),IF('Cash Flows'!$B$29="",0,EXP(-D29*'Cash Flows'!$B$29)*EXP(-'Inputs'!$B$18*'Cash Flows'!$B$29)),IF('Cash Flows'!$B$30="",0,EXP(-D29*'Cash Flows'!$B$30)*EXP(-'Inputs'!$B$18*'Cash Flows'!$B$30)),IF('Cash Flows'!$B$31="",0,EXP(-D29*'Cash Flows'!$B$31)*EXP(-'Inputs'!$B$18*'Cash Flows'!$B$31)),IF('Cash Flows'!$B$32="",0,EXP(-D29*'Cash Flows'!$B$32)*EXP(-'Inputs'!$B$18*'Cash Flows'!$B$32)),IF('Cash Flows'!$B$33="",0,EXP(-D29*'Cash Flows'!$B$33)*EXP(-'Inputs'!$B$18*'Cash Flows'!$B$33)),IF('Cash Flows'!$B$34="",0,EXP(-D29*'Cash Flows'!$B$34)*EXP(-'Inputs'!$B$18*'Cash Flows'!$B$34)),IF('Cash Flows'!$B$35="",0,EXP(-D29*'Cash Flows'!$B$35)*EXP(-'Inputs'!$B$18*'Cash Flows'!$B$35)),IF('Cash Flows'!$B$36="",0,EXP(-D29*'Cash Flows'!$B$36)*EXP(-'Inputs'!$B$18*'Cash Flows'!$B$36)),IF('Cash Flows'!$B$37="",0,EXP(-D29*'Cash Flows'!$B$37)*EXP(-'Inputs'!$B$18*'Cash Flows'!$B$37)),IF('Cash Flows'!$B$38="",0,EXP(-D29*'Cash Flows'!$B$38)*EXP(-'Inputs'!$B$18*'Cash Flows'!$B$38)),IF('Cash Flows'!$B$39="",0,EXP(-D29*'Cash Flows'!$B$39)*EXP(-'Inputs'!$B$18*'Cash Flows'!$B$39)),IF('Cash Flows'!$B$40="",0,EXP(-D29*'Cash Flows'!$B$40)*EXP(-'Inputs'!$B$18*'Cash Flows'!$B$40)),IF('Cash Flows'!$B$41="",0,EXP(-D29*'Cash Flows'!$B$41)*EXP(-'Inputs'!$B$18*'Cash Flows'!$B$41)),IF('Cash Flows'!$B$42="",0,EXP(-D29*'Cash Flows'!$B$42)*EXP(-'Inputs'!$B$18*'Cash Flows'!$B$42)),IF('Cash Flows'!$B$43="",0,EXP(-D29*'Cash Flows'!$B$43)*EXP(-'Inputs'!$B$18*'Cash Flows'!$B$43)),IF('Cash Flows'!$B$44="",0,EXP(-D29*'Cash Flows'!$B$44)*EXP(-'Inputs'!$B$18*'Cash Flows'!$B$44)),IF('Cash Flows'!$B$45="",0,EXP(-D29*'Cash Flows'!$B$45)*EXP(-'Inputs'!$B$18*'Cash Flows'!$B$45)))</x:f>
        <x:v>14.050815923614255</x:v>
      </x:c>
      <x:c r="I29" s="158" t="n">
        <x:f>SUM(IF('Cash Flows'!$B$6="",0,(EXP(-D29*'Cash Flows'!$C$6)-EXP(-D29*'Cash Flows'!$B$6))*EXP(-'Inputs'!$B$18*'Cash Flows'!$B$6)),IF('Cash Flows'!$B$7="",0,(EXP(-D29*'Cash Flows'!$C$7)-EXP(-D29*'Cash Flows'!$B$7))*EXP(-'Inputs'!$B$18*'Cash Flows'!$B$7)),IF('Cash Flows'!$B$8="",0,(EXP(-D29*'Cash Flows'!$C$8)-EXP(-D29*'Cash Flows'!$B$8))*EXP(-'Inputs'!$B$18*'Cash Flows'!$B$8)),IF('Cash Flows'!$B$9="",0,(EXP(-D29*'Cash Flows'!$C$9)-EXP(-D29*'Cash Flows'!$B$9))*EXP(-'Inputs'!$B$18*'Cash Flows'!$B$9)),IF('Cash Flows'!$B$10="",0,(EXP(-D29*'Cash Flows'!$C$10)-EXP(-D29*'Cash Flows'!$B$10))*EXP(-'Inputs'!$B$18*'Cash Flows'!$B$10)),IF('Cash Flows'!$B$11="",0,(EXP(-D29*'Cash Flows'!$C$11)-EXP(-D29*'Cash Flows'!$B$11))*EXP(-'Inputs'!$B$18*'Cash Flows'!$B$11)),IF('Cash Flows'!$B$12="",0,(EXP(-D29*'Cash Flows'!$C$12)-EXP(-D29*'Cash Flows'!$B$12))*EXP(-'Inputs'!$B$18*'Cash Flows'!$B$12)),IF('Cash Flows'!$B$13="",0,(EXP(-D29*'Cash Flows'!$C$13)-EXP(-D29*'Cash Flows'!$B$13))*EXP(-'Inputs'!$B$18*'Cash Flows'!$B$13)),IF('Cash Flows'!$B$14="",0,(EXP(-D29*'Cash Flows'!$C$14)-EXP(-D29*'Cash Flows'!$B$14))*EXP(-'Inputs'!$B$18*'Cash Flows'!$B$14)),IF('Cash Flows'!$B$15="",0,(EXP(-D29*'Cash Flows'!$C$15)-EXP(-D29*'Cash Flows'!$B$15))*EXP(-'Inputs'!$B$18*'Cash Flows'!$B$15)),IF('Cash Flows'!$B$16="",0,(EXP(-D29*'Cash Flows'!$C$16)-EXP(-D29*'Cash Flows'!$B$16))*EXP(-'Inputs'!$B$18*'Cash Flows'!$B$16)),IF('Cash Flows'!$B$17="",0,(EXP(-D29*'Cash Flows'!$C$17)-EXP(-D29*'Cash Flows'!$B$17))*EXP(-'Inputs'!$B$18*'Cash Flows'!$B$17)),IF('Cash Flows'!$B$18="",0,(EXP(-D29*'Cash Flows'!$C$18)-EXP(-D29*'Cash Flows'!$B$18))*EXP(-'Inputs'!$B$18*'Cash Flows'!$B$18)),IF('Cash Flows'!$B$19="",0,(EXP(-D29*'Cash Flows'!$C$19)-EXP(-D29*'Cash Flows'!$B$19))*EXP(-'Inputs'!$B$18*'Cash Flows'!$B$19)),IF('Cash Flows'!$B$20="",0,(EXP(-D29*'Cash Flows'!$C$20)-EXP(-D29*'Cash Flows'!$B$20))*EXP(-'Inputs'!$B$18*'Cash Flows'!$B$20)),IF('Cash Flows'!$B$21="",0,(EXP(-D29*'Cash Flows'!$C$21)-EXP(-D29*'Cash Flows'!$B$21))*EXP(-'Inputs'!$B$18*'Cash Flows'!$B$21)),IF('Cash Flows'!$B$22="",0,(EXP(-D29*'Cash Flows'!$C$22)-EXP(-D29*'Cash Flows'!$B$22))*EXP(-'Inputs'!$B$18*'Cash Flows'!$B$22)),IF('Cash Flows'!$B$23="",0,(EXP(-D29*'Cash Flows'!$C$23)-EXP(-D29*'Cash Flows'!$B$23))*EXP(-'Inputs'!$B$18*'Cash Flows'!$B$23)),IF('Cash Flows'!$B$24="",0,(EXP(-D29*'Cash Flows'!$C$24)-EXP(-D29*'Cash Flows'!$B$24))*EXP(-'Inputs'!$B$18*'Cash Flows'!$B$24)),IF('Cash Flows'!$B$25="",0,(EXP(-D29*'Cash Flows'!$C$25)-EXP(-D29*'Cash Flows'!$B$25))*EXP(-'Inputs'!$B$18*'Cash Flows'!$B$25)),IF('Cash Flows'!$B$26="",0,(EXP(-D29*'Cash Flows'!$C$26)-EXP(-D29*'Cash Flows'!$B$26))*EXP(-'Inputs'!$B$18*'Cash Flows'!$B$26)),IF('Cash Flows'!$B$27="",0,(EXP(-D29*'Cash Flows'!$C$27)-EXP(-D29*'Cash Flows'!$B$27))*EXP(-'Inputs'!$B$18*'Cash Flows'!$B$27)),IF('Cash Flows'!$B$28="",0,(EXP(-D29*'Cash Flows'!$C$28)-EXP(-D29*'Cash Flows'!$B$28))*EXP(-'Inputs'!$B$18*'Cash Flows'!$B$28)),IF('Cash Flows'!$B$29="",0,(EXP(-D29*'Cash Flows'!$C$29)-EXP(-D29*'Cash Flows'!$B$29))*EXP(-'Inputs'!$B$18*'Cash Flows'!$B$29)),IF('Cash Flows'!$B$30="",0,(EXP(-D29*'Cash Flows'!$C$30)-EXP(-D29*'Cash Flows'!$B$30))*EXP(-'Inputs'!$B$18*'Cash Flows'!$B$30)),IF('Cash Flows'!$B$31="",0,(EXP(-D29*'Cash Flows'!$C$31)-EXP(-D29*'Cash Flows'!$B$31))*EXP(-'Inputs'!$B$18*'Cash Flows'!$B$31)),IF('Cash Flows'!$B$32="",0,(EXP(-D29*'Cash Flows'!$C$32)-EXP(-D29*'Cash Flows'!$B$32))*EXP(-'Inputs'!$B$18*'Cash Flows'!$B$32)),IF('Cash Flows'!$B$33="",0,(EXP(-D29*'Cash Flows'!$C$33)-EXP(-D29*'Cash Flows'!$B$33))*EXP(-'Inputs'!$B$18*'Cash Flows'!$B$33)),IF('Cash Flows'!$B$34="",0,(EXP(-D29*'Cash Flows'!$C$34)-EXP(-D29*'Cash Flows'!$B$34))*EXP(-'Inputs'!$B$18*'Cash Flows'!$B$34)),IF('Cash Flows'!$B$35="",0,(EXP(-D29*'Cash Flows'!$C$35)-EXP(-D29*'Cash Flows'!$B$35))*EXP(-'Inputs'!$B$18*'Cash Flows'!$B$35)),IF('Cash Flows'!$B$36="",0,(EXP(-D29*'Cash Flows'!$C$36)-EXP(-D29*'Cash Flows'!$B$36))*EXP(-'Inputs'!$B$18*'Cash Flows'!$B$36)),IF('Cash Flows'!$B$37="",0,(EXP(-D29*'Cash Flows'!$C$37)-EXP(-D29*'Cash Flows'!$B$37))*EXP(-'Inputs'!$B$18*'Cash Flows'!$B$37)),IF('Cash Flows'!$B$38="",0,(EXP(-D29*'Cash Flows'!$C$38)-EXP(-D29*'Cash Flows'!$B$38))*EXP(-'Inputs'!$B$18*'Cash Flows'!$B$38)),IF('Cash Flows'!$B$39="",0,(EXP(-D29*'Cash Flows'!$C$39)-EXP(-D29*'Cash Flows'!$B$39))*EXP(-'Inputs'!$B$18*'Cash Flows'!$B$39)),IF('Cash Flows'!$B$40="",0,(EXP(-D29*'Cash Flows'!$C$40)-EXP(-D29*'Cash Flows'!$B$40))*EXP(-'Inputs'!$B$18*'Cash Flows'!$B$40)),IF('Cash Flows'!$B$41="",0,(EXP(-D29*'Cash Flows'!$C$41)-EXP(-D29*'Cash Flows'!$B$41))*EXP(-'Inputs'!$B$18*'Cash Flows'!$B$41)),IF('Cash Flows'!$B$42="",0,(EXP(-D29*'Cash Flows'!$C$42)-EXP(-D29*'Cash Flows'!$B$42))*EXP(-'Inputs'!$B$18*'Cash Flows'!$B$42)),IF('Cash Flows'!$B$43="",0,(EXP(-D29*'Cash Flows'!$C$43)-EXP(-D29*'Cash Flows'!$B$43))*EXP(-'Inputs'!$B$18*'Cash Flows'!$B$43)),IF('Cash Flows'!$B$44="",0,(EXP(-D29*'Cash Flows'!$C$44)-EXP(-D29*'Cash Flows'!$B$44))*EXP(-'Inputs'!$B$18*'Cash Flows'!$B$44)),IF('Cash Flows'!$B$45="",0,(EXP(-D29*'Cash Flows'!$C$45)-EXP(-D29*'Cash Flows'!$B$45))*EXP(-'Inputs'!$B$18*'Cash Flows'!$B$45)))</x:f>
        <x:v>0.3556980985728589</x:v>
      </x:c>
      <x:c r="J29" s="111"/>
      <x:c r="K29" s="111"/>
      <x:c r="L29" s="111"/>
      <x:c r="M29" s="111"/>
      <x:c r="N29" s="111"/>
      <x:c r="O29" s="111"/>
    </x:row>
    <x:row r="30">
      <x:c r="A30" s="138" t="str">
        <x:v>S600 / R60</x:v>
      </x:c>
      <x:c r="B30" s="162" t="n">
        <x:v>0.06</x:v>
      </x:c>
      <x:c r="C30" s="162" t="n">
        <x:v>0.6</x:v>
      </x:c>
      <x:c r="D30" s="162" t="n">
        <x:f>IF(C30&lt;1,B30/(1-C30),0)</x:f>
        <x:v>0.15</x:v>
      </x:c>
      <x:c r="E30" s="162" t="n">
        <x:f>1-EXP(-D30*'Inputs'!$B$10)</x:f>
        <x:v>0.5276334472589853</x:v>
      </x:c>
      <x:c r="F30" s="162" t="n">
        <x:f>'Inputs'!$B$35/'Inputs'!$B$9*H30+MAX(0,C30-IF('Inputs'!$B$6="REPACK",'Inputs'!$B$21,0))*I30+EXP(-D30*'Inputs'!$B$10)*EXP(-'Inputs'!$B$18*'Inputs'!$B$10)</x:f>
        <x:v>0.8965802481628351</x:v>
      </x:c>
      <x:c r="G30" s="162" t="n">
        <x:f>IF(H30&gt;0,IF('Inputs'!$B$6="CLN",('Inputs'!$B$11-MAX(0,C30-IF('Inputs'!$B$6="REPACK",'Inputs'!$B$21,0))*I30-EXP(-D30*'Inputs'!$B$10)*EXP(-'Inputs'!$B$18*'Inputs'!$B$10))/(H30/'Inputs'!$B$9),('Inputs'!$B$11-'Inputs'!$B$29+'Inputs'!$B$28/'Inputs'!$B$9*H30+C30*I30+EXP(-D30*'Inputs'!$B$10)*EXP(-'Inputs'!$B$18*'Inputs'!$B$10)-MAX(0,C30-IF('Inputs'!$B$6="REPACK",'Inputs'!$B$21,0))*I30-EXP(-D30*'Inputs'!$B$10)*EXP(-'Inputs'!$B$18*'Inputs'!$B$10)-('Inputs'!$B$30+'Inputs'!$B$31)/'Inputs'!$B$9*H30)/(H30/'Inputs'!$B$9)),"")</x:f>
        <x:v>0.10549844641711324</x:v>
      </x:c>
      <x:c r="H30" s="163" t="n">
        <x:f>SUM(IF('Cash Flows'!$B$6="",0,EXP(-D30*'Cash Flows'!$B$6)*EXP(-'Inputs'!$B$18*'Cash Flows'!$B$6)),IF('Cash Flows'!$B$7="",0,EXP(-D30*'Cash Flows'!$B$7)*EXP(-'Inputs'!$B$18*'Cash Flows'!$B$7)),IF('Cash Flows'!$B$8="",0,EXP(-D30*'Cash Flows'!$B$8)*EXP(-'Inputs'!$B$18*'Cash Flows'!$B$8)),IF('Cash Flows'!$B$9="",0,EXP(-D30*'Cash Flows'!$B$9)*EXP(-'Inputs'!$B$18*'Cash Flows'!$B$9)),IF('Cash Flows'!$B$10="",0,EXP(-D30*'Cash Flows'!$B$10)*EXP(-'Inputs'!$B$18*'Cash Flows'!$B$10)),IF('Cash Flows'!$B$11="",0,EXP(-D30*'Cash Flows'!$B$11)*EXP(-'Inputs'!$B$18*'Cash Flows'!$B$11)),IF('Cash Flows'!$B$12="",0,EXP(-D30*'Cash Flows'!$B$12)*EXP(-'Inputs'!$B$18*'Cash Flows'!$B$12)),IF('Cash Flows'!$B$13="",0,EXP(-D30*'Cash Flows'!$B$13)*EXP(-'Inputs'!$B$18*'Cash Flows'!$B$13)),IF('Cash Flows'!$B$14="",0,EXP(-D30*'Cash Flows'!$B$14)*EXP(-'Inputs'!$B$18*'Cash Flows'!$B$14)),IF('Cash Flows'!$B$15="",0,EXP(-D30*'Cash Flows'!$B$15)*EXP(-'Inputs'!$B$18*'Cash Flows'!$B$15)),IF('Cash Flows'!$B$16="",0,EXP(-D30*'Cash Flows'!$B$16)*EXP(-'Inputs'!$B$18*'Cash Flows'!$B$16)),IF('Cash Flows'!$B$17="",0,EXP(-D30*'Cash Flows'!$B$17)*EXP(-'Inputs'!$B$18*'Cash Flows'!$B$17)),IF('Cash Flows'!$B$18="",0,EXP(-D30*'Cash Flows'!$B$18)*EXP(-'Inputs'!$B$18*'Cash Flows'!$B$18)),IF('Cash Flows'!$B$19="",0,EXP(-D30*'Cash Flows'!$B$19)*EXP(-'Inputs'!$B$18*'Cash Flows'!$B$19)),IF('Cash Flows'!$B$20="",0,EXP(-D30*'Cash Flows'!$B$20)*EXP(-'Inputs'!$B$18*'Cash Flows'!$B$20)),IF('Cash Flows'!$B$21="",0,EXP(-D30*'Cash Flows'!$B$21)*EXP(-'Inputs'!$B$18*'Cash Flows'!$B$21)),IF('Cash Flows'!$B$22="",0,EXP(-D30*'Cash Flows'!$B$22)*EXP(-'Inputs'!$B$18*'Cash Flows'!$B$22)),IF('Cash Flows'!$B$23="",0,EXP(-D30*'Cash Flows'!$B$23)*EXP(-'Inputs'!$B$18*'Cash Flows'!$B$23)),IF('Cash Flows'!$B$24="",0,EXP(-D30*'Cash Flows'!$B$24)*EXP(-'Inputs'!$B$18*'Cash Flows'!$B$24)),IF('Cash Flows'!$B$25="",0,EXP(-D30*'Cash Flows'!$B$25)*EXP(-'Inputs'!$B$18*'Cash Flows'!$B$25)),IF('Cash Flows'!$B$26="",0,EXP(-D30*'Cash Flows'!$B$26)*EXP(-'Inputs'!$B$18*'Cash Flows'!$B$26)),IF('Cash Flows'!$B$27="",0,EXP(-D30*'Cash Flows'!$B$27)*EXP(-'Inputs'!$B$18*'Cash Flows'!$B$27)),IF('Cash Flows'!$B$28="",0,EXP(-D30*'Cash Flows'!$B$28)*EXP(-'Inputs'!$B$18*'Cash Flows'!$B$28)),IF('Cash Flows'!$B$29="",0,EXP(-D30*'Cash Flows'!$B$29)*EXP(-'Inputs'!$B$18*'Cash Flows'!$B$29)),IF('Cash Flows'!$B$30="",0,EXP(-D30*'Cash Flows'!$B$30)*EXP(-'Inputs'!$B$18*'Cash Flows'!$B$30)),IF('Cash Flows'!$B$31="",0,EXP(-D30*'Cash Flows'!$B$31)*EXP(-'Inputs'!$B$18*'Cash Flows'!$B$31)),IF('Cash Flows'!$B$32="",0,EXP(-D30*'Cash Flows'!$B$32)*EXP(-'Inputs'!$B$18*'Cash Flows'!$B$32)),IF('Cash Flows'!$B$33="",0,EXP(-D30*'Cash Flows'!$B$33)*EXP(-'Inputs'!$B$18*'Cash Flows'!$B$33)),IF('Cash Flows'!$B$34="",0,EXP(-D30*'Cash Flows'!$B$34)*EXP(-'Inputs'!$B$18*'Cash Flows'!$B$34)),IF('Cash Flows'!$B$35="",0,EXP(-D30*'Cash Flows'!$B$35)*EXP(-'Inputs'!$B$18*'Cash Flows'!$B$35)),IF('Cash Flows'!$B$36="",0,EXP(-D30*'Cash Flows'!$B$36)*EXP(-'Inputs'!$B$18*'Cash Flows'!$B$36)),IF('Cash Flows'!$B$37="",0,EXP(-D30*'Cash Flows'!$B$37)*EXP(-'Inputs'!$B$18*'Cash Flows'!$B$37)),IF('Cash Flows'!$B$38="",0,EXP(-D30*'Cash Flows'!$B$38)*EXP(-'Inputs'!$B$18*'Cash Flows'!$B$38)),IF('Cash Flows'!$B$39="",0,EXP(-D30*'Cash Flows'!$B$39)*EXP(-'Inputs'!$B$18*'Cash Flows'!$B$39)),IF('Cash Flows'!$B$40="",0,EXP(-D30*'Cash Flows'!$B$40)*EXP(-'Inputs'!$B$18*'Cash Flows'!$B$40)),IF('Cash Flows'!$B$41="",0,EXP(-D30*'Cash Flows'!$B$41)*EXP(-'Inputs'!$B$18*'Cash Flows'!$B$41)),IF('Cash Flows'!$B$42="",0,EXP(-D30*'Cash Flows'!$B$42)*EXP(-'Inputs'!$B$18*'Cash Flows'!$B$42)),IF('Cash Flows'!$B$43="",0,EXP(-D30*'Cash Flows'!$B$43)*EXP(-'Inputs'!$B$18*'Cash Flows'!$B$43)),IF('Cash Flows'!$B$44="",0,EXP(-D30*'Cash Flows'!$B$44)*EXP(-'Inputs'!$B$18*'Cash Flows'!$B$44)),IF('Cash Flows'!$B$45="",0,EXP(-D30*'Cash Flows'!$B$45)*EXP(-'Inputs'!$B$18*'Cash Flows'!$B$45)))</x:f>
        <x:v>12.536317683553795</x:v>
      </x:c>
      <x:c r="I30" s="164" t="n">
        <x:f>SUM(IF('Cash Flows'!$B$6="",0,(EXP(-D30*'Cash Flows'!$C$6)-EXP(-D30*'Cash Flows'!$B$6))*EXP(-'Inputs'!$B$18*'Cash Flows'!$B$6)),IF('Cash Flows'!$B$7="",0,(EXP(-D30*'Cash Flows'!$C$7)-EXP(-D30*'Cash Flows'!$B$7))*EXP(-'Inputs'!$B$18*'Cash Flows'!$B$7)),IF('Cash Flows'!$B$8="",0,(EXP(-D30*'Cash Flows'!$C$8)-EXP(-D30*'Cash Flows'!$B$8))*EXP(-'Inputs'!$B$18*'Cash Flows'!$B$8)),IF('Cash Flows'!$B$9="",0,(EXP(-D30*'Cash Flows'!$C$9)-EXP(-D30*'Cash Flows'!$B$9))*EXP(-'Inputs'!$B$18*'Cash Flows'!$B$9)),IF('Cash Flows'!$B$10="",0,(EXP(-D30*'Cash Flows'!$C$10)-EXP(-D30*'Cash Flows'!$B$10))*EXP(-'Inputs'!$B$18*'Cash Flows'!$B$10)),IF('Cash Flows'!$B$11="",0,(EXP(-D30*'Cash Flows'!$C$11)-EXP(-D30*'Cash Flows'!$B$11))*EXP(-'Inputs'!$B$18*'Cash Flows'!$B$11)),IF('Cash Flows'!$B$12="",0,(EXP(-D30*'Cash Flows'!$C$12)-EXP(-D30*'Cash Flows'!$B$12))*EXP(-'Inputs'!$B$18*'Cash Flows'!$B$12)),IF('Cash Flows'!$B$13="",0,(EXP(-D30*'Cash Flows'!$C$13)-EXP(-D30*'Cash Flows'!$B$13))*EXP(-'Inputs'!$B$18*'Cash Flows'!$B$13)),IF('Cash Flows'!$B$14="",0,(EXP(-D30*'Cash Flows'!$C$14)-EXP(-D30*'Cash Flows'!$B$14))*EXP(-'Inputs'!$B$18*'Cash Flows'!$B$14)),IF('Cash Flows'!$B$15="",0,(EXP(-D30*'Cash Flows'!$C$15)-EXP(-D30*'Cash Flows'!$B$15))*EXP(-'Inputs'!$B$18*'Cash Flows'!$B$15)),IF('Cash Flows'!$B$16="",0,(EXP(-D30*'Cash Flows'!$C$16)-EXP(-D30*'Cash Flows'!$B$16))*EXP(-'Inputs'!$B$18*'Cash Flows'!$B$16)),IF('Cash Flows'!$B$17="",0,(EXP(-D30*'Cash Flows'!$C$17)-EXP(-D30*'Cash Flows'!$B$17))*EXP(-'Inputs'!$B$18*'Cash Flows'!$B$17)),IF('Cash Flows'!$B$18="",0,(EXP(-D30*'Cash Flows'!$C$18)-EXP(-D30*'Cash Flows'!$B$18))*EXP(-'Inputs'!$B$18*'Cash Flows'!$B$18)),IF('Cash Flows'!$B$19="",0,(EXP(-D30*'Cash Flows'!$C$19)-EXP(-D30*'Cash Flows'!$B$19))*EXP(-'Inputs'!$B$18*'Cash Flows'!$B$19)),IF('Cash Flows'!$B$20="",0,(EXP(-D30*'Cash Flows'!$C$20)-EXP(-D30*'Cash Flows'!$B$20))*EXP(-'Inputs'!$B$18*'Cash Flows'!$B$20)),IF('Cash Flows'!$B$21="",0,(EXP(-D30*'Cash Flows'!$C$21)-EXP(-D30*'Cash Flows'!$B$21))*EXP(-'Inputs'!$B$18*'Cash Flows'!$B$21)),IF('Cash Flows'!$B$22="",0,(EXP(-D30*'Cash Flows'!$C$22)-EXP(-D30*'Cash Flows'!$B$22))*EXP(-'Inputs'!$B$18*'Cash Flows'!$B$22)),IF('Cash Flows'!$B$23="",0,(EXP(-D30*'Cash Flows'!$C$23)-EXP(-D30*'Cash Flows'!$B$23))*EXP(-'Inputs'!$B$18*'Cash Flows'!$B$23)),IF('Cash Flows'!$B$24="",0,(EXP(-D30*'Cash Flows'!$C$24)-EXP(-D30*'Cash Flows'!$B$24))*EXP(-'Inputs'!$B$18*'Cash Flows'!$B$24)),IF('Cash Flows'!$B$25="",0,(EXP(-D30*'Cash Flows'!$C$25)-EXP(-D30*'Cash Flows'!$B$25))*EXP(-'Inputs'!$B$18*'Cash Flows'!$B$25)),IF('Cash Flows'!$B$26="",0,(EXP(-D30*'Cash Flows'!$C$26)-EXP(-D30*'Cash Flows'!$B$26))*EXP(-'Inputs'!$B$18*'Cash Flows'!$B$26)),IF('Cash Flows'!$B$27="",0,(EXP(-D30*'Cash Flows'!$C$27)-EXP(-D30*'Cash Flows'!$B$27))*EXP(-'Inputs'!$B$18*'Cash Flows'!$B$27)),IF('Cash Flows'!$B$28="",0,(EXP(-D30*'Cash Flows'!$C$28)-EXP(-D30*'Cash Flows'!$B$28))*EXP(-'Inputs'!$B$18*'Cash Flows'!$B$28)),IF('Cash Flows'!$B$29="",0,(EXP(-D30*'Cash Flows'!$C$29)-EXP(-D30*'Cash Flows'!$B$29))*EXP(-'Inputs'!$B$18*'Cash Flows'!$B$29)),IF('Cash Flows'!$B$30="",0,(EXP(-D30*'Cash Flows'!$C$30)-EXP(-D30*'Cash Flows'!$B$30))*EXP(-'Inputs'!$B$18*'Cash Flows'!$B$30)),IF('Cash Flows'!$B$31="",0,(EXP(-D30*'Cash Flows'!$C$31)-EXP(-D30*'Cash Flows'!$B$31))*EXP(-'Inputs'!$B$18*'Cash Flows'!$B$31)),IF('Cash Flows'!$B$32="",0,(EXP(-D30*'Cash Flows'!$C$32)-EXP(-D30*'Cash Flows'!$B$32))*EXP(-'Inputs'!$B$18*'Cash Flows'!$B$32)),IF('Cash Flows'!$B$33="",0,(EXP(-D30*'Cash Flows'!$C$33)-EXP(-D30*'Cash Flows'!$B$33))*EXP(-'Inputs'!$B$18*'Cash Flows'!$B$33)),IF('Cash Flows'!$B$34="",0,(EXP(-D30*'Cash Flows'!$C$34)-EXP(-D30*'Cash Flows'!$B$34))*EXP(-'Inputs'!$B$18*'Cash Flows'!$B$34)),IF('Cash Flows'!$B$35="",0,(EXP(-D30*'Cash Flows'!$C$35)-EXP(-D30*'Cash Flows'!$B$35))*EXP(-'Inputs'!$B$18*'Cash Flows'!$B$35)),IF('Cash Flows'!$B$36="",0,(EXP(-D30*'Cash Flows'!$C$36)-EXP(-D30*'Cash Flows'!$B$36))*EXP(-'Inputs'!$B$18*'Cash Flows'!$B$36)),IF('Cash Flows'!$B$37="",0,(EXP(-D30*'Cash Flows'!$C$37)-EXP(-D30*'Cash Flows'!$B$37))*EXP(-'Inputs'!$B$18*'Cash Flows'!$B$37)),IF('Cash Flows'!$B$38="",0,(EXP(-D30*'Cash Flows'!$C$38)-EXP(-D30*'Cash Flows'!$B$38))*EXP(-'Inputs'!$B$18*'Cash Flows'!$B$38)),IF('Cash Flows'!$B$39="",0,(EXP(-D30*'Cash Flows'!$C$39)-EXP(-D30*'Cash Flows'!$B$39))*EXP(-'Inputs'!$B$18*'Cash Flows'!$B$39)),IF('Cash Flows'!$B$40="",0,(EXP(-D30*'Cash Flows'!$C$40)-EXP(-D30*'Cash Flows'!$B$40))*EXP(-'Inputs'!$B$18*'Cash Flows'!$B$40)),IF('Cash Flows'!$B$41="",0,(EXP(-D30*'Cash Flows'!$C$41)-EXP(-D30*'Cash Flows'!$B$41))*EXP(-'Inputs'!$B$18*'Cash Flows'!$B$41)),IF('Cash Flows'!$B$42="",0,(EXP(-D30*'Cash Flows'!$C$42)-EXP(-D30*'Cash Flows'!$B$42))*EXP(-'Inputs'!$B$18*'Cash Flows'!$B$42)),IF('Cash Flows'!$B$43="",0,(EXP(-D30*'Cash Flows'!$C$43)-EXP(-D30*'Cash Flows'!$B$43))*EXP(-'Inputs'!$B$18*'Cash Flows'!$B$43)),IF('Cash Flows'!$B$44="",0,(EXP(-D30*'Cash Flows'!$C$44)-EXP(-D30*'Cash Flows'!$B$44))*EXP(-'Inputs'!$B$18*'Cash Flows'!$B$44)),IF('Cash Flows'!$B$45="",0,(EXP(-D30*'Cash Flows'!$C$45)-EXP(-D30*'Cash Flows'!$B$45))*EXP(-'Inputs'!$B$18*'Cash Flows'!$B$45)))</x:f>
        <x:v>0.47903773474078953</x:v>
      </x:c>
      <x:c r="J30" s="111"/>
      <x:c r="K30" s="111"/>
      <x:c r="L30" s="111"/>
      <x:c r="M30" s="111"/>
      <x:c r="N30" s="111"/>
      <x:c r="O30" s="111"/>
    </x:row>
  </x:sheetData>
  <x:mergeCells>
    <x:mergeCell ref="A1:O1"/>
    <x:mergeCell ref="A3:O3"/>
    <x:mergeCell ref="J5:O5"/>
    <x:mergeCell ref="J14:O14"/>
    <x:mergeCell ref="J15:O15"/>
    <x:mergeCell ref="J16:O16"/>
    <x:mergeCell ref="J17:O17"/>
    <x:mergeCell ref="J18:O18"/>
    <x:mergeCell ref="J19:O19"/>
    <x:mergeCell ref="J20:O20"/>
  </x:mergeCells>
  <x:conditionalFormatting sqref="K7:O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2" hidden="0" customWidth="1"/>
    <x:col min="7" max="7" width="56" hidden="0" customWidth="1"/>
  </x:cols>
  <x:sheetData>
    <x:row r="1" ht="30" customHeight="1">
      <x:c r="A1" s="178" t="str">
        <x:v>CREDIT STRUCTURING CASH-FLOW ENGINE | CHECKS</x:v>
      </x:c>
      <x:c r="B1" s="178" t="str">
        <x:v>CREDIT STRUCTURING CASH-FLOW ENGINE | CHECKS</x:v>
      </x:c>
      <x:c r="C1" s="178" t="str">
        <x:v>CREDIT STRUCTURING CASH-FLOW ENGINE | CHECKS</x:v>
      </x:c>
      <x:c r="D1" s="178" t="str">
        <x:v>CREDIT STRUCTURING CASH-FLOW ENGINE | CHECKS</x:v>
      </x:c>
      <x:c r="E1" s="178" t="str">
        <x:v>CREDIT STRUCTURING CASH-FLOW ENGINE | CHECKS</x:v>
      </x:c>
      <x:c r="F1" s="178" t="str">
        <x:v>CREDIT STRUCTURING CASH-FLOW ENGINE | CHECKS</x:v>
      </x:c>
      <x:c r="G1" s="178" t="str">
        <x:v>CREDIT STRUCTURING CASH-FLOW ENGINE | CHECKS</x:v>
      </x:c>
    </x:row>
    <x:row r="2">
      <x:c r="A2" s="111"/>
      <x:c r="B2" s="111"/>
      <x:c r="C2" s="111"/>
      <x:c r="D2" s="111"/>
      <x:c r="E2" s="111"/>
      <x:c r="F2" s="111"/>
      <x:c r="G2" s="111"/>
    </x:row>
    <x:row r="3">
      <x:c r="A3" s="112" t="str">
        <x:v>One assertion per row | Formula checks plus independent Python base-case comparisons</x:v>
      </x:c>
      <x:c r="B3" s="112"/>
      <x:c r="C3" s="112"/>
      <x:c r="D3" s="112"/>
      <x:c r="E3" s="112"/>
      <x:c r="F3" s="112"/>
      <x:c r="G3" s="112"/>
    </x:row>
    <x:row r="4">
      <x:c r="A4" s="111"/>
      <x:c r="B4" s="111"/>
      <x:c r="C4" s="111"/>
      <x:c r="D4" s="111"/>
      <x:c r="E4" s="111"/>
      <x:c r="F4" s="111"/>
      <x:c r="G4" s="111"/>
    </x:row>
    <x:row r="5">
      <x:c r="A5" s="165" t="str">
        <x:v>Overall model status</x:v>
      </x:c>
      <x:c r="B5" s="165" t="str">
        <x:f>IF(COUNTIF(F8:F24,"FAIL")&gt;0,"FAIL",IF(COUNTIF(F8:F24,"WARN")&gt;0,"WARN","OK"))</x:f>
        <x:v>OK</x:v>
      </x:c>
      <x:c r="C5" s="111"/>
      <x:c r="D5" s="111"/>
      <x:c r="E5" s="111"/>
      <x:c r="F5" s="111"/>
      <x:c r="G5" s="111"/>
    </x:row>
    <x:row r="6">
      <x:c r="A6" s="111"/>
      <x:c r="B6" s="111"/>
      <x:c r="C6" s="111"/>
      <x:c r="D6" s="111"/>
      <x:c r="E6" s="111"/>
      <x:c r="F6" s="111"/>
      <x:c r="G6" s="111"/>
    </x:row>
    <x:row r="7">
      <x:c r="A7" s="15" t="str">
        <x:v>Check</x:v>
      </x:c>
      <x:c r="B7" s="15" t="str">
        <x:v>Actual</x:v>
      </x:c>
      <x:c r="C7" s="15" t="str">
        <x:v>Expected</x:v>
      </x:c>
      <x:c r="D7" s="15" t="str">
        <x:v>Difference</x:v>
      </x:c>
      <x:c r="E7" s="15" t="str">
        <x:v>Tolerance</x:v>
      </x:c>
      <x:c r="F7" s="15" t="str">
        <x:v>Status</x:v>
      </x:c>
      <x:c r="G7" s="15" t="str">
        <x:v>Notes</x:v>
      </x:c>
    </x:row>
    <x:row r="8">
      <x:c r="A8" s="124" t="str">
        <x:v>Probability conservation</x:v>
      </x:c>
      <x:c r="B8" s="166" t="n">
        <x:f>SUM('Cash Flows'!$F$6:$F$45)+EXP(-'Inputs'!$B$34*'Inputs'!$B$10)</x:f>
        <x:v>1</x:v>
      </x:c>
      <x:c r="C8" s="166" t="n">
        <x:v>1</x:v>
      </x:c>
      <x:c r="D8" s="166" t="n">
        <x:f>ROUND(B8-C8,8)</x:f>
        <x:v>0</x:v>
      </x:c>
      <x:c r="E8" s="166" t="n">
        <x:v>1e-7</x:v>
      </x:c>
      <x:c r="F8" s="167" t="str">
        <x:f>IF(ABS(D8)&lt;=E8,"OK","FAIL")</x:f>
        <x:v>OK</x:v>
      </x:c>
      <x:c r="G8" s="127" t="str">
        <x:v>Sum of period default probabilities plus terminal survival</x:v>
      </x:c>
    </x:row>
    <x:row r="9">
      <x:c r="A9" s="129" t="str">
        <x:v>Cash-flow PV tie</x:v>
      </x:c>
      <x:c r="B9" s="168" t="n">
        <x:f>'Summary'!$B$11</x:f>
        <x:v>1006487.3474349717</x:v>
      </x:c>
      <x:c r="C9" s="168" t="n">
        <x:f>SUM('Cash Flows'!$M$6:$M$45)</x:f>
        <x:v>1006487.3474349717</x:v>
      </x:c>
      <x:c r="D9" s="168" t="n">
        <x:f>ROUND(B9-C9,8)</x:f>
        <x:v>0</x:v>
      </x:c>
      <x:c r="E9" s="168" t="n">
        <x:v>0.01</x:v>
      </x:c>
      <x:c r="F9" s="169" t="str">
        <x:f>IF(ABS(D9)&lt;=E9,"OK","FAIL")</x:f>
        <x:v>OK</x:v>
      </x:c>
      <x:c r="G9" s="132" t="str">
        <x:v>Summary value equals schedule PV</x:v>
      </x:c>
    </x:row>
    <x:row r="10">
      <x:c r="A10" s="129" t="str">
        <x:v>Fair coupon reprices to issue price</x:v>
      </x:c>
      <x:c r="B10" s="168" t="n">
        <x:f>IF('Inputs'!$B$6="CLN",'Summary'!$B$8/'Inputs'!$B$9*SUMPRODUCT('Cash Flows'!$E$6:$E$45,'Cash Flows'!$G$6:$G$45)+'Inputs'!$B$36*SUMPRODUCT('Cash Flows'!$F$6:$F$45,'Cash Flows'!$G$6:$G$45)+EXP(-'Inputs'!$B$34*'Inputs'!$B$10)*EXP(-'Inputs'!$B$18*'Inputs'!$B$10),'Inputs'!$B$11-'Inputs'!$B$29+'Inputs'!$B$28/'Inputs'!$B$9*SUMPRODUCT('Cash Flows'!$E$6:$E$45,'Cash Flows'!$G$6:$G$45)+'Inputs'!$B$17*SUMPRODUCT('Cash Flows'!$F$6:$F$45,'Cash Flows'!$G$6:$G$45)+EXP(-'Inputs'!$B$34*'Inputs'!$B$10)*EXP(-'Inputs'!$B$18*'Inputs'!$B$10)-'Summary'!$B$8/'Inputs'!$B$9*SUMPRODUCT('Cash Flows'!$E$6:$E$45,'Cash Flows'!$G$6:$G$45)-'Inputs'!$B$36*SUMPRODUCT('Cash Flows'!$F$6:$F$45,'Cash Flows'!$G$6:$G$45)-EXP(-'Inputs'!$B$34*'Inputs'!$B$10)*EXP(-'Inputs'!$B$18*'Inputs'!$B$10)-('Inputs'!$B$30+'Inputs'!$B$31)/'Inputs'!$B$9*SUMPRODUCT('Cash Flows'!$E$6:$E$45,'Cash Flows'!$G$6:$G$45))</x:f>
        <x:v>0.9999999999999999</x:v>
      </x:c>
      <x:c r="C10" s="168" t="n">
        <x:f>IF('Inputs'!$B$6="CLN",'Inputs'!$B$11,0)</x:f>
        <x:v>1</x:v>
      </x:c>
      <x:c r="D10" s="168" t="n">
        <x:f>ROUND(B10-C10,8)</x:f>
        <x:v>0</x:v>
      </x:c>
      <x:c r="E10" s="168" t="n">
        <x:v>0.000001</x:v>
      </x:c>
      <x:c r="F10" s="169" t="str">
        <x:f>IF(ABS(D10)&lt;=E10,"OK","FAIL")</x:f>
        <x:v>OK</x:v>
      </x:c>
      <x:c r="G10" s="132" t="str">
        <x:v>Expected price at fair coupon</x:v>
      </x:c>
    </x:row>
    <x:row r="11">
      <x:c r="A11" s="129" t="str">
        <x:v>Active schedule periods</x:v>
      </x:c>
      <x:c r="B11" s="168" t="n">
        <x:f>COUNT('Cash Flows'!$B$6:$B$45)</x:f>
        <x:v>20</x:v>
      </x:c>
      <x:c r="C11" s="168" t="n">
        <x:f>'Inputs'!$B$37</x:f>
        <x:v>20</x:v>
      </x:c>
      <x:c r="D11" s="168" t="n">
        <x:f>ROUND(B11-C11,8)</x:f>
        <x:v>0</x:v>
      </x:c>
      <x:c r="E11" s="168" t="n">
        <x:v>0</x:v>
      </x:c>
      <x:c r="F11" s="169" t="str">
        <x:f>IF(ABS(D11)&lt;=E11,"OK","FAIL")</x:f>
        <x:v>OK</x:v>
      </x:c>
      <x:c r="G11" s="132" t="str">
        <x:v>Maturity multiplied by frequency</x:v>
      </x:c>
    </x:row>
    <x:row r="12">
      <x:c r="A12" s="129" t="str">
        <x:v>Investor / issuer bridge</x:v>
      </x:c>
      <x:c r="B12" s="168" t="n">
        <x:f>'Summary'!$B$15+'Summary'!$B$16+'Inputs'!$B$8*'Inputs'!$B$13</x:f>
        <x:v>0</x:v>
      </x:c>
      <x:c r="C12" s="168" t="n">
        <x:f>IF('Inputs'!$B$6="CLN",0,'Summary'!$B$17-'Inputs'!$B$8*'Inputs'!$B$29-'Summary'!$B$31)</x:f>
        <x:v>0</x:v>
      </x:c>
      <x:c r="D12" s="168" t="n">
        <x:f>ROUND(B12-C12,8)</x:f>
        <x:v>0</x:v>
      </x:c>
      <x:c r="E12" s="168" t="n">
        <x:v>0.01</x:v>
      </x:c>
      <x:c r="F12" s="169" t="str">
        <x:f>IF(ABS(D12)&lt;=E12,"OK","FAIL")</x:f>
        <x:v>OK</x:v>
      </x:c>
      <x:c r="G12" s="132" t="str">
        <x:v>Bridge includes fees, costs and repack asset economics</x:v>
      </x:c>
    </x:row>
    <x:row r="13">
      <x:c r="A13" s="129" t="str">
        <x:v>Wider spread lowers price</x:v>
      </x:c>
      <x:c r="B13" s="168" t="n">
        <x:f>IF(SUMIFS('Sensitivities'!$F$6:$F$30,'Sensitivities'!$B$6:$B$30,0.06,'Sensitivities'!$C$6:$C$30,0.4)&lt;SUMIFS('Sensitivities'!$F$6:$F$30,'Sensitivities'!$B$6:$B$30,0.01,'Sensitivities'!$C$6:$C$30,0.4),1,0)</x:f>
        <x:v>1</x:v>
      </x:c>
      <x:c r="C13" s="168" t="n">
        <x:v>1</x:v>
      </x:c>
      <x:c r="D13" s="168" t="n">
        <x:f>ROUND(B13-C13,8)</x:f>
        <x:v>0</x:v>
      </x:c>
      <x:c r="E13" s="168" t="n">
        <x:v>0</x:v>
      </x:c>
      <x:c r="F13" s="169" t="str">
        <x:f>IF(ABS(D13)&lt;=E13,"OK","FAIL")</x:f>
        <x:v>OK</x:v>
      </x:c>
      <x:c r="G13" s="132" t="str">
        <x:v>Monotonicity at 40% recovery</x:v>
      </x:c>
    </x:row>
    <x:row r="14">
      <x:c r="A14" s="129" t="str">
        <x:v>Higher recovery raises price at fixed hazard</x:v>
      </x:c>
      <x:c r="B14" s="168" t="n">
        <x:f>IF(0.6*SUMPRODUCT('Cash Flows'!$F$6:$F$45,'Cash Flows'!$G$6:$G$45)&gt;0.2*SUMPRODUCT('Cash Flows'!$F$6:$F$45,'Cash Flows'!$G$6:$G$45),1,0)</x:f>
        <x:v>1</x:v>
      </x:c>
      <x:c r="C14" s="168" t="n">
        <x:v>1</x:v>
      </x:c>
      <x:c r="D14" s="168" t="n">
        <x:f>ROUND(B14-C14,8)</x:f>
        <x:v>0</x:v>
      </x:c>
      <x:c r="E14" s="168" t="n">
        <x:v>0</x:v>
      </x:c>
      <x:c r="F14" s="169" t="str">
        <x:f>IF(ABS(D14)&lt;=E14,"OK","FAIL")</x:f>
        <x:v>OK</x:v>
      </x:c>
      <x:c r="G14" s="132" t="str">
        <x:v>Holds the base hazard constant to isolate loss severity</x:v>
      </x:c>
    </x:row>
    <x:row r="15">
      <x:c r="A15" s="129" t="str">
        <x:v>Fair coupon non-negative</x:v>
      </x:c>
      <x:c r="B15" s="168" t="n">
        <x:f>IF('Summary'!$B$8&gt;=0,1,0)</x:f>
        <x:v>1</x:v>
      </x:c>
      <x:c r="C15" s="168" t="n">
        <x:v>1</x:v>
      </x:c>
      <x:c r="D15" s="168" t="n">
        <x:f>ROUND(B15-C15,8)</x:f>
        <x:v>0</x:v>
      </x:c>
      <x:c r="E15" s="168" t="n">
        <x:v>0</x:v>
      </x:c>
      <x:c r="F15" s="169" t="str">
        <x:f>IF(ABS(D15)&lt;=E15,"OK","FAIL")</x:f>
        <x:v>OK</x:v>
      </x:c>
      <x:c r="G15" s="132" t="str">
        <x:v>Boundary condition</x:v>
      </x:c>
    </x:row>
    <x:row r="16">
      <x:c r="A16" s="129" t="str">
        <x:v>Input recovery within bounds</x:v>
      </x:c>
      <x:c r="B16" s="168" t="n">
        <x:f>IF(AND('Inputs'!$B$17&gt;=0,'Inputs'!$B$17&lt;=1),1,0)</x:f>
        <x:v>1</x:v>
      </x:c>
      <x:c r="C16" s="168" t="n">
        <x:v>1</x:v>
      </x:c>
      <x:c r="D16" s="168" t="n">
        <x:f>ROUND(B16-C16,8)</x:f>
        <x:v>0</x:v>
      </x:c>
      <x:c r="E16" s="168" t="n">
        <x:v>0</x:v>
      </x:c>
      <x:c r="F16" s="169" t="str">
        <x:f>IF(ABS(D16)&lt;=E16,"OK","FAIL")</x:f>
        <x:v>OK</x:v>
      </x:c>
      <x:c r="G16" s="132" t="str">
        <x:v>Recovery must be between zero and one</x:v>
      </x:c>
    </x:row>
    <x:row r="17">
      <x:c r="A17" s="129" t="str">
        <x:v>Input period count supported</x:v>
      </x:c>
      <x:c r="B17" s="168" t="n">
        <x:f>IF(AND('Inputs'!$B$37&gt;=1,'Inputs'!$B$37&lt;=40),1,0)</x:f>
        <x:v>1</x:v>
      </x:c>
      <x:c r="C17" s="168" t="n">
        <x:v>1</x:v>
      </x:c>
      <x:c r="D17" s="168" t="n">
        <x:f>ROUND(B17-C17,8)</x:f>
        <x:v>0</x:v>
      </x:c>
      <x:c r="E17" s="168" t="n">
        <x:v>0</x:v>
      </x:c>
      <x:c r="F17" s="169" t="str">
        <x:f>IF(ABS(D17)&lt;=E17,"OK","FAIL")</x:f>
        <x:v>OK</x:v>
      </x:c>
      <x:c r="G17" s="132" t="str">
        <x:v>Maximum 40 periods</x:v>
      </x:c>
    </x:row>
    <x:row r="18">
      <x:c r="A18" s="129" t="str">
        <x:v>Repack pass-through coupon valid</x:v>
      </x:c>
      <x:c r="B18" s="168" t="n">
        <x:f>IF(OR('Inputs'!$B$6="CLN",'Inputs'!$B$35&gt;=0),1,0)</x:f>
        <x:v>1</x:v>
      </x:c>
      <x:c r="C18" s="168" t="n">
        <x:v>1</x:v>
      </x:c>
      <x:c r="D18" s="168" t="n">
        <x:f>ROUND(B18-C18,8)</x:f>
        <x:v>0</x:v>
      </x:c>
      <x:c r="E18" s="168" t="n">
        <x:v>0</x:v>
      </x:c>
      <x:c r="F18" s="169" t="str">
        <x:f>IF(ABS(D18)&lt;=E18,"OK","FAIL")</x:f>
        <x:v>OK</x:v>
      </x:c>
      <x:c r="G18" s="132" t="str">
        <x:v>Coupon cannot be negative</x:v>
      </x:c>
    </x:row>
    <x:row r="19">
      <x:c r="A19" s="129" t="str">
        <x:v>Python model price cross-check</x:v>
      </x:c>
      <x:c r="B19" s="136" t="n">
        <x:f>'Summary'!$B$10</x:f>
        <x:v>1.0064873474349718</x:v>
      </x:c>
      <x:c r="C19" s="136" t="n">
        <x:v>1.0064873474349718</x:v>
      </x:c>
      <x:c r="D19" s="168" t="n">
        <x:f>IF(OR(B19="",C19=""),0,ROUND(B19-C19,8))</x:f>
        <x:v>0</x:v>
      </x:c>
      <x:c r="E19" s="168" t="n">
        <x:v>0.000001</x:v>
      </x:c>
      <x:c r="F19" s="169" t="str">
        <x:f>IF(C19="","WARN",IF(ABS(D19)&lt;=E19,"OK","FAIL"))</x:f>
        <x:v>OK</x:v>
      </x:c>
      <x:c r="G19" s="132" t="str">
        <x:v>Populated from generated Python result when available</x:v>
      </x:c>
    </x:row>
    <x:row r="20">
      <x:c r="A20" s="129" t="str">
        <x:v>Python fair coupon cross-check</x:v>
      </x:c>
      <x:c r="B20" s="136" t="n">
        <x:f>'Summary'!$B$8</x:f>
        <x:v>0.07087712962645687</x:v>
      </x:c>
      <x:c r="C20" s="136" t="n">
        <x:v>0.0708771296264569</x:v>
      </x:c>
      <x:c r="D20" s="168" t="n">
        <x:f>IF(OR(B20="",C20=""),0,ROUND(B20-C20,8))</x:f>
        <x:v>0</x:v>
      </x:c>
      <x:c r="E20" s="168" t="n">
        <x:v>0.0001</x:v>
      </x:c>
      <x:c r="F20" s="169" t="str">
        <x:f>IF(C20="","WARN",IF(ABS(D20)&lt;=E20,"OK","FAIL"))</x:f>
        <x:v>OK</x:v>
      </x:c>
      <x:c r="G20" s="132" t="str">
        <x:v>Populated from generated Python result when available</x:v>
      </x:c>
    </x:row>
    <x:row r="21">
      <x:c r="A21" s="129" t="str">
        <x:v>Python default probability cross-check</x:v>
      </x:c>
      <x:c r="B21" s="136" t="n">
        <x:f>'Summary'!$B$12</x:f>
        <x:v>0.20480401020487426</x:v>
      </x:c>
      <x:c r="C21" s="136" t="n">
        <x:v>0.20480401020487426</x:v>
      </x:c>
      <x:c r="D21" s="168" t="n">
        <x:f>IF(OR(B21="",C21=""),0,ROUND(B21-C21,8))</x:f>
        <x:v>0</x:v>
      </x:c>
      <x:c r="E21" s="168" t="n">
        <x:v>0.0001</x:v>
      </x:c>
      <x:c r="F21" s="169" t="str">
        <x:f>IF(C21="","WARN",IF(ABS(D21)&lt;=E21,"OK","FAIL"))</x:f>
        <x:v>OK</x:v>
      </x:c>
      <x:c r="G21" s="132" t="str">
        <x:v>Populated from generated Python result when available</x:v>
      </x:c>
    </x:row>
    <x:row r="22">
      <x:c r="A22" s="129" t="str">
        <x:v>Python investor NPV cross-check</x:v>
      </x:c>
      <x:c r="B22" s="170" t="n">
        <x:f>'Summary'!$B$15</x:f>
        <x:v>6487.347434971714</x:v>
      </x:c>
      <x:c r="C22" s="170" t="n">
        <x:v>6487.347434971831</x:v>
      </x:c>
      <x:c r="D22" s="168" t="n">
        <x:f>IF(OR(B22="",C22=""),0,ROUND(B22-C22,8))</x:f>
        <x:v>0</x:v>
      </x:c>
      <x:c r="E22" s="168" t="n">
        <x:v>1</x:v>
      </x:c>
      <x:c r="F22" s="169" t="str">
        <x:f>IF(C22="","WARN",IF(ABS(D22)&lt;=E22,"OK","FAIL"))</x:f>
        <x:v>OK</x:v>
      </x:c>
      <x:c r="G22" s="132" t="str">
        <x:v>Populated from generated Python result when available</x:v>
      </x:c>
    </x:row>
    <x:row r="23">
      <x:c r="A23" s="129" t="str">
        <x:v>Python issuer NPV cross-check</x:v>
      </x:c>
      <x:c r="B23" s="170" t="n">
        <x:f>'Summary'!$B$16</x:f>
        <x:v>-6487.347434971714</x:v>
      </x:c>
      <x:c r="C23" s="170" t="n">
        <x:v>-6487.347434971831</x:v>
      </x:c>
      <x:c r="D23" s="168" t="n">
        <x:f>IF(OR(B23="",C23=""),0,ROUND(B23-C23,8))</x:f>
        <x:v>0</x:v>
      </x:c>
      <x:c r="E23" s="168" t="n">
        <x:v>1</x:v>
      </x:c>
      <x:c r="F23" s="169" t="str">
        <x:f>IF(C23="","WARN",IF(ABS(D23)&lt;=E23,"OK","FAIL"))</x:f>
        <x:v>OK</x:v>
      </x:c>
      <x:c r="G23" s="132" t="str">
        <x:v>Populated from generated Python result when available</x:v>
      </x:c>
    </x:row>
    <x:row r="24">
      <x:c r="A24" s="138" t="str">
        <x:v>Python validation status</x:v>
      </x:c>
      <x:c r="B24" s="171" t="n">
        <x:f>1</x:f>
        <x:v>1</x:v>
      </x:c>
      <x:c r="C24" s="171" t="n">
        <x:v>1</x:v>
      </x:c>
      <x:c r="D24" s="171" t="n">
        <x:f>IF(OR(B24="",C24=""),0,ROUND(B24-C24,8))</x:f>
        <x:v>0</x:v>
      </x:c>
      <x:c r="E24" s="171" t="n">
        <x:v>0</x:v>
      </x:c>
      <x:c r="F24" s="172" t="str">
        <x:f>IF(B24="","WARN",IF(ABS(D24)&lt;=E24,"OK","FAIL"))</x:f>
        <x:v>OK</x:v>
      </x:c>
      <x:c r="G24" s="141" t="str">
        <x:v>All Python-side controls passed</x:v>
      </x:c>
    </x:row>
  </x:sheetData>
  <x:mergeCells>
    <x:mergeCell ref="A1:G1"/>
    <x:mergeCell ref="A3:G3"/>
  </x:mergeCells>
  <x:conditionalFormatting sqref="F8:F24">
    <x:cfRule type="containsText" dxfId="5" priority="1" operator="containsText" text="OK"/>
    <x:cfRule type="containsText" dxfId="6" priority="2" operator="containsText" text="WARN"/>
    <x:cfRule type="containsText" dxfId="7" priority="3" operator="containsText" text="FAIL"/>
  </x:conditionalFormatting>
  <x:conditionalFormatting sqref="B5:B5">
    <x:cfRule type="containsText" dxfId="8" priority="4" operator="containsText" text="OK"/>
    <x:cfRule type="containsText" dxfId="9" priority="5" operator="containsText" text="WARN"/>
    <x:cfRule type="containsText" dxfId="10" priority="6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0" hidden="0" customWidth="1"/>
    <x:col min="4" max="4" width="62" hidden="0" customWidth="1"/>
    <x:col min="5" max="5" width="34" hidden="0" customWidth="1"/>
    <x:col min="6" max="6" width="34" hidden="0" customWidth="1"/>
  </x:cols>
  <x:sheetData>
    <x:row r="1" ht="30" customHeight="1">
      <x:c r="A1" s="178" t="str">
        <x:v>CREDIT STRUCTURING CASH-FLOW ENGINE | SOURCES AND MODEL NOTES</x:v>
      </x:c>
      <x:c r="B1" s="178" t="str">
        <x:v>CREDIT STRUCTURING CASH-FLOW ENGINE | SOURCES AND MODEL NOTES</x:v>
      </x:c>
      <x:c r="C1" s="178" t="str">
        <x:v>CREDIT STRUCTURING CASH-FLOW ENGINE | SOURCES AND MODEL NOTES</x:v>
      </x:c>
      <x:c r="D1" s="178" t="str">
        <x:v>CREDIT STRUCTURING CASH-FLOW ENGINE | SOURCES AND MODEL NOTES</x:v>
      </x:c>
      <x:c r="E1" s="178" t="str">
        <x:v>CREDIT STRUCTURING CASH-FLOW ENGINE | SOURCES AND MODEL NOTES</x:v>
      </x:c>
      <x:c r="F1" s="178" t="str">
        <x:v>CREDIT STRUCTURING CASH-FLOW ENGINE | SOURCES AND MODEL NOTES</x:v>
      </x:c>
    </x:row>
    <x:row r="2">
      <x:c r="A2" s="111"/>
      <x:c r="B2" s="111"/>
      <x:c r="C2" s="111"/>
      <x:c r="D2" s="111"/>
      <x:c r="E2" s="111"/>
      <x:c r="F2" s="111"/>
    </x:row>
    <x:row r="3">
      <x:c r="A3" s="112" t="str">
        <x:v>All numerical inputs are synthetic. Sources frame product mechanics and risk context; they do not provide market calibration.</x:v>
      </x:c>
      <x:c r="B3" s="112"/>
      <x:c r="C3" s="112"/>
      <x:c r="D3" s="112"/>
      <x:c r="E3" s="112"/>
      <x:c r="F3" s="112"/>
    </x:row>
    <x:row r="4">
      <x:c r="A4" s="111"/>
      <x:c r="B4" s="111"/>
      <x:c r="C4" s="111"/>
      <x:c r="D4" s="111"/>
      <x:c r="E4" s="111"/>
      <x:c r="F4" s="111"/>
    </x:row>
    <x:row r="5" ht="21" customHeight="1">
      <x:c r="A5" s="10" t="str">
        <x:v>REFERENCE SOURCES</x:v>
      </x:c>
      <x:c r="B5" s="10" t="str">
        <x:v>REFERENCE SOURCES</x:v>
      </x:c>
      <x:c r="C5" s="10" t="str">
        <x:v>REFERENCE SOURCES</x:v>
      </x:c>
      <x:c r="D5" s="10" t="str">
        <x:v>REFERENCE SOURCES</x:v>
      </x:c>
      <x:c r="E5" s="10" t="str">
        <x:v>REFERENCE SOURCES</x:v>
      </x:c>
      <x:c r="F5" s="10" t="str">
        <x:v>REFERENCE SOURCES</x:v>
      </x:c>
    </x:row>
    <x:row r="6">
      <x:c r="A6" s="50" t="str">
        <x:v>Code</x:v>
      </x:c>
      <x:c r="B6" s="51" t="str">
        <x:v>Source</x:v>
      </x:c>
      <x:c r="C6" s="51" t="str">
        <x:v>Organisation</x:v>
      </x:c>
      <x:c r="D6" s="51" t="str">
        <x:v>URL</x:v>
      </x:c>
      <x:c r="E6" s="51" t="str">
        <x:v>Used for</x:v>
      </x:c>
      <x:c r="F6" s="52" t="str">
        <x:v>Boundary</x:v>
      </x:c>
    </x:row>
    <x:row r="7">
      <x:c r="A7" s="115" t="str">
        <x:v>S1</x:v>
      </x:c>
      <x:c r="B7" s="116" t="str">
        <x:v>2014 ISDA Credit Derivatives Definitions</x:v>
      </x:c>
      <x:c r="C7" s="116" t="str">
        <x:v>ISDA</x:v>
      </x:c>
      <x:c r="D7" s="116" t="str">
        <x:v>https://www.isda.org/book/2014-isda-credit-derivative-definitions/</x:v>
      </x:c>
      <x:c r="E7" s="116" t="str">
        <x:v>Credit-event and settlement context</x:v>
      </x:c>
      <x:c r="F7" s="117" t="str">
        <x:v>The model does not reproduce legal definitions or auction settlement</x:v>
      </x:c>
    </x:row>
    <x:row r="8">
      <x:c r="A8" s="115" t="str">
        <x:v>S2</x:v>
      </x:c>
      <x:c r="B8" s="116" t="str">
        <x:v>The rise and risks of synthetic risk transfers</x:v>
      </x:c>
      <x:c r="C8" s="116" t="str">
        <x:v>Bank for International Settlements</x:v>
      </x:c>
      <x:c r="D8" s="116" t="str">
        <x:v>https://www.bis.org/publ/qtrpdf/r_qt2603c.htm</x:v>
      </x:c>
      <x:c r="E8" s="116" t="str">
        <x:v>Funded CLN and collateral context</x:v>
      </x:c>
      <x:c r="F8" s="117" t="str">
        <x:v>The project models a single-name stylisation, not regulatory capital relief</x:v>
      </x:c>
    </x:row>
    <x:row r="9">
      <x:c r="A9" s="115" t="str">
        <x:v>S3</x:v>
      </x:c>
      <x:c r="B9" s="116" t="str">
        <x:v>CRE22 Standardised approach: credit risk mitigation</x:v>
      </x:c>
      <x:c r="C9" s="116" t="str">
        <x:v>Basel Committee</x:v>
      </x:c>
      <x:c r="D9" s="116" t="str">
        <x:v>https://www.bis.org/basel_framework/chapter/CRE/22.htm</x:v>
      </x:c>
      <x:c r="E9" s="116" t="str">
        <x:v>Cash-funded CLN context</x:v>
      </x:c>
      <x:c r="F9" s="117" t="str">
        <x:v>No regulatory capital calculation is included</x:v>
      </x:c>
    </x:row>
    <x:row r="10">
      <x:c r="A10" s="115" t="str">
        <x:v>S4</x:v>
      </x:c>
      <x:c r="B10" s="116" t="str">
        <x:v>Repack transaction vehicles Q&amp;A</x:v>
      </x:c>
      <x:c r="C10" s="116" t="str">
        <x:v>European Banking Authority</x:v>
      </x:c>
      <x:c r="D10" s="116" t="str">
        <x:v>https://www.eba.europa.eu/single-rule-book-qa/qna/view/publicId/2025_7575</x:v>
      </x:c>
      <x:c r="E10" s="116" t="str">
        <x:v>Repack SPV and cash-flow transformation context</x:v>
      </x:c>
      <x:c r="F10" s="117" t="str">
        <x:v>The model is a simplified pass-through structure</x:v>
      </x:c>
    </x:row>
    <x:row r="11">
      <x:c r="A11" s="120" t="str">
        <x:v>S5</x:v>
      </x:c>
      <x:c r="B11" s="121" t="str">
        <x:v>User-defined synthetic assumptions</x:v>
      </x:c>
      <x:c r="C11" s="121" t="str">
        <x:v>Model</x:v>
      </x:c>
      <x:c r="D11" s="121" t="str">
        <x:v>n/a</x:v>
      </x:c>
      <x:c r="E11" s="121" t="str">
        <x:v>All numerical inputs</x:v>
      </x:c>
      <x:c r="F11" s="122" t="str">
        <x:v>Not live market data</x:v>
      </x:c>
    </x:row>
    <x:row r="12">
      <x:c r="A12" s="111"/>
      <x:c r="B12" s="111"/>
      <x:c r="C12" s="111"/>
      <x:c r="D12" s="111"/>
      <x:c r="E12" s="111"/>
      <x:c r="F12" s="111"/>
    </x:row>
    <x:row r="13" ht="21" customHeight="1">
      <x:c r="A13" s="10" t="str">
        <x:v>CORE CONVENTIONS</x:v>
      </x:c>
      <x:c r="B13" s="10" t="str">
        <x:v>CORE CONVENTIONS</x:v>
      </x:c>
      <x:c r="C13" s="10" t="str">
        <x:v>CORE CONVENTIONS</x:v>
      </x:c>
      <x:c r="D13" s="10" t="str">
        <x:v>CORE CONVENTIONS</x:v>
      </x:c>
      <x:c r="E13" s="10" t="str">
        <x:v>CORE CONVENTIONS</x:v>
      </x:c>
      <x:c r="F13" s="10" t="str">
        <x:v>CORE CONVENTIONS</x:v>
      </x:c>
    </x:row>
    <x:row r="14">
      <x:c r="A14" s="50" t="str">
        <x:v>Topic</x:v>
      </x:c>
      <x:c r="B14" s="51" t="str">
        <x:v>Convention</x:v>
      </x:c>
      <x:c r="C14" s="51" t="str">
        <x:v>Reason</x:v>
      </x:c>
      <x:c r="D14" s="51" t="str">
        <x:v>Risk</x:v>
      </x:c>
      <x:c r="E14" s="51" t="str">
        <x:v>Production extension</x:v>
      </x:c>
      <x:c r="F14" s="52" t="str">
        <x:v>Status</x:v>
      </x:c>
    </x:row>
    <x:row r="15">
      <x:c r="A15" s="115" t="str">
        <x:v>Default intensity</x:v>
      </x:c>
      <x:c r="B15" s="116" t="str">
        <x:v>Constant hazard = spread / (1 - recovery)</x:v>
      </x:c>
      <x:c r="C15" s="116" t="str">
        <x:v>Transparent approximation</x:v>
      </x:c>
      <x:c r="D15" s="116" t="str">
        <x:v>Not a calibrated credit curve</x:v>
      </x:c>
      <x:c r="E15" s="116" t="str">
        <x:v>Bootstrap hazard curve from market CDS</x:v>
      </x:c>
      <x:c r="F15" s="117" t="str">
        <x:v>DISCLOSED</x:v>
      </x:c>
    </x:row>
    <x:row r="16">
      <x:c r="A16" s="115" t="str">
        <x:v>Discounting</x:v>
      </x:c>
      <x:c r="B16" s="116" t="str">
        <x:v>Flat continuously compounded rate</x:v>
      </x:c>
      <x:c r="C16" s="116" t="str">
        <x:v>Keeps mechanics auditable</x:v>
      </x:c>
      <x:c r="D16" s="116" t="str">
        <x:v>No curve shape or basis</x:v>
      </x:c>
      <x:c r="E16" s="116" t="str">
        <x:v>Use OIS and funding curves</x:v>
      </x:c>
      <x:c r="F16" s="117" t="str">
        <x:v>DISCLOSED</x:v>
      </x:c>
    </x:row>
    <x:row r="17">
      <x:c r="A17" s="115" t="str">
        <x:v>Default timing</x:v>
      </x:c>
      <x:c r="B17" s="116" t="str">
        <x:v>Period default settled at next coupon date</x:v>
      </x:c>
      <x:c r="C17" s="116" t="str">
        <x:v>Compact expected-cash-flow grid</x:v>
      </x:c>
      <x:c r="D17" s="116" t="str">
        <x:v>No exact event or auction date</x:v>
      </x:c>
      <x:c r="E17" s="116" t="str">
        <x:v>Daily event and settlement engine</x:v>
      </x:c>
      <x:c r="F17" s="117" t="str">
        <x:v>DISCLOSED</x:v>
      </x:c>
    </x:row>
    <x:row r="18">
      <x:c r="A18" s="115" t="str">
        <x:v>Coupons</x:v>
      </x:c>
      <x:c r="B18" s="116" t="str">
        <x:v>Paid only if reference survives to payment date</x:v>
      </x:c>
      <x:c r="C18" s="116" t="str">
        <x:v>Conservative simple convention</x:v>
      </x:c>
      <x:c r="D18" s="116" t="str">
        <x:v>No accrued coupon on default</x:v>
      </x:c>
      <x:c r="E18" s="116" t="str">
        <x:v>Add accrued and legal term flags</x:v>
      </x:c>
      <x:c r="F18" s="117" t="str">
        <x:v>DISCLOSED</x:v>
      </x:c>
    </x:row>
    <x:row r="19">
      <x:c r="A19" s="115" t="str">
        <x:v>Repack recovery</x:v>
      </x:c>
      <x:c r="B19" s="116" t="str">
        <x:v>Reference recovery with optional spreadsheet adjustment</x:v>
      </x:c>
      <x:c r="C19" s="116" t="str">
        <x:v>Makes recovery sensitivity explicit</x:v>
      </x:c>
      <x:c r="D19" s="116" t="str">
        <x:v>No legal close-out model</x:v>
      </x:c>
      <x:c r="E19" s="116" t="str">
        <x:v>Model swaps and replacement cost</x:v>
      </x:c>
      <x:c r="F19" s="117" t="str">
        <x:v>DISCLOSED</x:v>
      </x:c>
    </x:row>
    <x:row r="20">
      <x:c r="A20" s="115" t="str">
        <x:v>Funding</x:v>
      </x:c>
      <x:c r="B20" s="116" t="str">
        <x:v>Flat benchmark rate plus separate running costs</x:v>
      </x:c>
      <x:c r="C20" s="116" t="str">
        <x:v>Shows coupon decomposition</x:v>
      </x:c>
      <x:c r="D20" s="116" t="str">
        <x:v>Static haircut is displayed but not priced</x:v>
      </x:c>
      <x:c r="E20" s="116" t="str">
        <x:v>Collateral and margin schedule</x:v>
      </x:c>
      <x:c r="F20" s="117" t="str">
        <x:v>DISCLOSED</x:v>
      </x:c>
    </x:row>
    <x:row r="21">
      <x:c r="A21" s="120" t="str">
        <x:v>Valuation</x:v>
      </x:c>
      <x:c r="B21" s="121" t="str">
        <x:v>Expected cash flows under a stylised risk-neutral hazard</x:v>
      </x:c>
      <x:c r="C21" s="121" t="str">
        <x:v>Illustrative relative value</x:v>
      </x:c>
      <x:c r="D21" s="121" t="str">
        <x:v>Not executable pricing</x:v>
      </x:c>
      <x:c r="E21" s="121" t="str">
        <x:v>Market calibration and bid-offer</x:v>
      </x:c>
      <x:c r="F21" s="122" t="str">
        <x:v>DISCLOSED</x:v>
      </x:c>
    </x:row>
    <x:row r="22">
      <x:c r="A22" s="111"/>
      <x:c r="B22" s="111"/>
      <x:c r="C22" s="111"/>
      <x:c r="D22" s="111"/>
      <x:c r="E22" s="111"/>
      <x:c r="F22" s="111"/>
    </x:row>
    <x:row r="23">
      <x:c r="A23" s="111"/>
      <x:c r="B23" s="111"/>
      <x:c r="C23" s="111"/>
      <x:c r="D23" s="111"/>
      <x:c r="E23" s="111"/>
      <x:c r="F23" s="111"/>
    </x:row>
    <x:row r="24" ht="21" customHeight="1">
      <x:c r="A24" s="10" t="str">
        <x:v>EXCLUDED RISKS AND USE RESTRICTIONS</x:v>
      </x:c>
      <x:c r="B24" s="10" t="str">
        <x:v>EXCLUDED RISKS AND USE RESTRICTIONS</x:v>
      </x:c>
      <x:c r="C24" s="10" t="str">
        <x:v>EXCLUDED RISKS AND USE RESTRICTIONS</x:v>
      </x:c>
      <x:c r="D24" s="10" t="str">
        <x:v>EXCLUDED RISKS AND USE RESTRICTIONS</x:v>
      </x:c>
      <x:c r="E24" s="10" t="str">
        <x:v>EXCLUDED RISKS AND USE RESTRICTIONS</x:v>
      </x:c>
      <x:c r="F24" s="10" t="str">
        <x:v>EXCLUDED RISKS AND USE RESTRICTIONS</x:v>
      </x:c>
    </x:row>
    <x:row r="25">
      <x:c r="A25" s="173" t="str">
        <x:v>Counterparty and wrong-way risk</x:v>
      </x:c>
      <x:c r="B25" s="174" t="str">
        <x:v>Excluded</x:v>
      </x:c>
      <x:c r="C25" s="127" t="str">
        <x:v>Would require counterparty exposure and correlation modelling</x:v>
      </x:c>
      <x:c r="D25" s="111"/>
      <x:c r="E25" s="111"/>
      <x:c r="F25" s="111"/>
    </x:row>
    <x:row r="26">
      <x:c r="A26" s="175" t="str">
        <x:v>Liquidity and bid-offer</x:v>
      </x:c>
      <x:c r="B26" s="116" t="str">
        <x:v>Excluded</x:v>
      </x:c>
      <x:c r="C26" s="132" t="str">
        <x:v>No market depth or executable quote</x:v>
      </x:c>
      <x:c r="D26" s="111"/>
      <x:c r="E26" s="111"/>
      <x:c r="F26" s="111"/>
    </x:row>
    <x:row r="27">
      <x:c r="A27" s="175" t="str">
        <x:v>Capital, tax and accounting</x:v>
      </x:c>
      <x:c r="B27" s="116" t="str">
        <x:v>Excluded</x:v>
      </x:c>
      <x:c r="C27" s="132" t="str">
        <x:v>Jurisdiction and entity specific</x:v>
      </x:c>
      <x:c r="D27" s="111"/>
      <x:c r="E27" s="111"/>
      <x:c r="F27" s="111"/>
    </x:row>
    <x:row r="28">
      <x:c r="A28" s="175" t="str">
        <x:v>Legal enforceability</x:v>
      </x:c>
      <x:c r="B28" s="116" t="str">
        <x:v>Excluded</x:v>
      </x:c>
      <x:c r="C28" s="132" t="str">
        <x:v>Requires executed documents and legal review</x:v>
      </x:c>
      <x:c r="D28" s="111"/>
      <x:c r="E28" s="111"/>
      <x:c r="F28" s="111"/>
    </x:row>
    <x:row r="29">
      <x:c r="A29" s="175" t="str">
        <x:v>Dynamic collateral and margining</x:v>
      </x:c>
      <x:c r="B29" s="116" t="str">
        <x:v>Excluded</x:v>
      </x:c>
      <x:c r="C29" s="132" t="str">
        <x:v>Static haircut is an unpriced display input</x:v>
      </x:c>
      <x:c r="D29" s="111"/>
      <x:c r="E29" s="111"/>
      <x:c r="F29" s="111"/>
    </x:row>
    <x:row r="30">
      <x:c r="A30" s="175" t="str">
        <x:v>Issuer credit risk</x:v>
      </x:c>
      <x:c r="B30" s="116" t="str">
        <x:v>Simplified</x:v>
      </x:c>
      <x:c r="C30" s="132" t="str">
        <x:v>A flat discount rate is not a full issuer curve</x:v>
      </x:c>
      <x:c r="D30" s="111"/>
      <x:c r="E30" s="111"/>
      <x:c r="F30" s="111"/>
    </x:row>
    <x:row r="31">
      <x:c r="A31" s="175" t="str">
        <x:v>Use restriction</x:v>
      </x:c>
      <x:c r="B31" s="116" t="str">
        <x:v>Educational</x:v>
      </x:c>
      <x:c r="C31" s="132" t="str">
        <x:v>Not investment advice or an offer to transact</x:v>
      </x:c>
      <x:c r="D31" s="111"/>
      <x:c r="E31" s="111"/>
      <x:c r="F31" s="111"/>
    </x:row>
    <x:row r="32">
      <x:c r="A32" s="175" t="str">
        <x:v>Model claim</x:v>
      </x:c>
      <x:c r="B32" s="116" t="str">
        <x:v>Indicative cash-flow and scenario model</x:v>
      </x:c>
      <x:c r="C32" s="132" t="str">
        <x:v>Do not call this a production pricer</x:v>
      </x:c>
      <x:c r="D32" s="111"/>
      <x:c r="E32" s="111"/>
      <x:c r="F32" s="111"/>
    </x:row>
    <x:row r="33">
      <x:c r="A33" s="176" t="str">
        <x:v>Reviewer note</x:v>
      </x:c>
      <x:c r="B33" s="177" t="str">
        <x:v>Inspect assumptions, formulas and checks</x:v>
      </x:c>
      <x:c r="C33" s="141" t="str">
        <x:v>All key limitations are visible</x:v>
      </x:c>
      <x:c r="D33" s="111"/>
      <x:c r="E33" s="111"/>
      <x:c r="F33" s="111"/>
    </x:row>
  </x:sheetData>
  <x:mergeCells>
    <x:mergeCell ref="A1:F1"/>
    <x:mergeCell ref="A3:F3"/>
    <x:mergeCell ref="A5:F5"/>
    <x:mergeCell ref="A13:F13"/>
    <x:mergeCell ref="A24:F24"/>
  </x:mergeCells>
  <x:pageMargins left="0.7" right="0.7" top="0.75" bottom="0.75" header="0.3" footer="0.3"/>
</x:worksheet>
</file>